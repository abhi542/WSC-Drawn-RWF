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 NO." sheetId="1" r:id="rId5"/>
    <sheet state="visible" name="APRIL 2026" sheetId="2" r:id="rId6"/>
    <sheet state="visible" name="MAY 2026" sheetId="3" r:id="rId7"/>
  </sheets>
  <definedNames/>
  <calcPr/>
</workbook>
</file>

<file path=xl/sharedStrings.xml><?xml version="1.0" encoding="utf-8"?>
<sst xmlns="http://schemas.openxmlformats.org/spreadsheetml/2006/main" count="1347" uniqueCount="713">
  <si>
    <t>EMS</t>
  </si>
  <si>
    <t>EMR</t>
  </si>
  <si>
    <t>EWFPS</t>
  </si>
  <si>
    <t xml:space="preserve"> SHIFT/EMS</t>
  </si>
  <si>
    <t xml:space="preserve"> SHIFT/EMR</t>
  </si>
  <si>
    <t xml:space="preserve"> SHIFT/EWFPS</t>
  </si>
  <si>
    <t xml:space="preserve">  EGS</t>
  </si>
  <si>
    <t>MPC</t>
  </si>
  <si>
    <t>PL</t>
  </si>
  <si>
    <t>WARD</t>
  </si>
  <si>
    <t>CATEGORY</t>
  </si>
  <si>
    <t>SHORT DESCRIPTION</t>
  </si>
  <si>
    <t>UDM DESCRIPTION</t>
  </si>
  <si>
    <t>UNIT</t>
  </si>
  <si>
    <t>EAR UDM</t>
  </si>
  <si>
    <t>STOCK BALANCE</t>
  </si>
  <si>
    <t>EAR WSC</t>
  </si>
  <si>
    <t>EAR</t>
  </si>
  <si>
    <t>DRAWN</t>
  </si>
  <si>
    <t>BALANCE</t>
  </si>
  <si>
    <t>EAR  BALANCE</t>
  </si>
  <si>
    <t xml:space="preserve"> EAR BALANCE</t>
  </si>
  <si>
    <t>CONSUMPTION 23-24</t>
  </si>
  <si>
    <t>CONSUMPTION 24-25</t>
  </si>
  <si>
    <t>CONSUMPTION 25-26</t>
  </si>
  <si>
    <t>CONSUMPTION 26-27</t>
  </si>
  <si>
    <t>BLUE KNIT GLOVES</t>
  </si>
  <si>
    <t>NO.</t>
  </si>
  <si>
    <t>INDUSTRIAL HELMET RED</t>
  </si>
  <si>
    <t>INDL. HELMET RED</t>
  </si>
  <si>
    <t>INDUSTRIAL HELMET WHITE</t>
  </si>
  <si>
    <t>INDL. HELMET WHITE</t>
  </si>
  <si>
    <t>EAR PLUGS</t>
  </si>
  <si>
    <t>DUST RESPIRATER</t>
  </si>
  <si>
    <t>SAFETY GLASSES</t>
  </si>
  <si>
    <t>SAFETY GLASSES WITH FOLDING SIDE MESH GUARD FITTED WITH ZERO POWER CLEAR TOUGHENED GLASSES</t>
  </si>
  <si>
    <t>GLASS TUMBLER</t>
  </si>
  <si>
    <t>GLASS TUMBLER 260ML</t>
  </si>
  <si>
    <t>LIQUID SOAP</t>
  </si>
  <si>
    <t>LIQUID SOAP - SOAP CREAM YELLOW IN COLOUR TYPE-I GR-2 TO IS 4199/2001. IN 5 (FIVE) LITRE CAPACITY CONTAINER</t>
  </si>
  <si>
    <t>LTR</t>
  </si>
  <si>
    <t>SOAP TOILET IN 125 GRAMS</t>
  </si>
  <si>
    <t>SOAP TOILET IN 150 GRAMS</t>
  </si>
  <si>
    <t>CLOTH KHADI BLUE 91CMS</t>
  </si>
  <si>
    <t>MTR.</t>
  </si>
  <si>
    <t>TOWEL BATH</t>
  </si>
  <si>
    <t>TOWEL BATH TURKISH HANDLOOM / KHADI IN WHITE SIZE 140 CMS X 76 CMS WITH "IR" MONOGRAM STAMP</t>
  </si>
  <si>
    <t>CLOTH COTTON DRILL</t>
  </si>
  <si>
    <t>TERRYCOT PROTECTIVE CLOTH</t>
  </si>
  <si>
    <t>SINGLE PLY COLOURED COTTON BANIYAN CLOTH</t>
  </si>
  <si>
    <t>NEW, SINGLE PLY COLOURED COTTON BANIYAN CLOTH OF FINE QUALITY IN VARIOUS SHAPES</t>
  </si>
  <si>
    <t>COLOURED COTTON WASTE</t>
  </si>
  <si>
    <t>COLOURED COTTON WASTE TO IS 5485/1980 TYPE-II. NOTE: THE MATERIAL SHALL CONSIST OF UNSIZED YARN</t>
  </si>
  <si>
    <t>KG.</t>
  </si>
  <si>
    <t>LADIES SAFETY SHOES SIZE 4</t>
  </si>
  <si>
    <t>LADIES SAFETY SHOES SIZE 5</t>
  </si>
  <si>
    <t>GENTS SAFETY SHOES SIZE 6</t>
  </si>
  <si>
    <t>LADIES SAFETY SHOES SIZE 7</t>
  </si>
  <si>
    <t>GENTS SAFETY SHOES SIZE 7</t>
  </si>
  <si>
    <t>GENTS SAFETY SHOES SIZE 8</t>
  </si>
  <si>
    <t>GENTS SAFETY SHOES SIZE 9</t>
  </si>
  <si>
    <t>GENTS SAFETY SHOES SIZE 10</t>
  </si>
  <si>
    <t>GENTS SAFETY SHOES SIZE 11</t>
  </si>
  <si>
    <t>SOCKS COTTON N BLUE</t>
  </si>
  <si>
    <t>PAPER COMPUTER- A4- 1 PLY</t>
  </si>
  <si>
    <t>PAPER COMPU- A4, 1 PLY PAPER COMPUTER SIZE 12"L X 10"W (30.5 X 25.5 CMS),CONFORMING TO IS 12766/97, SINGLE PLY</t>
  </si>
  <si>
    <t>BUNDLE</t>
  </si>
  <si>
    <t>PAPER COMPUTER- A3- 2 PLY</t>
  </si>
  <si>
    <t>PAPER COMPU- A3- 2 PLY</t>
  </si>
  <si>
    <t>PAPER COMPUTER- A3- 3 PLY</t>
  </si>
  <si>
    <t>PAPER COMPUTER SIZE 12"L X 15"W (30.5 X 38.1 CMS), CONFORMING TO IS 12766/97, 3 PLY, 60 GSM, INTERLEAVED WITH CARBON SHEETS</t>
  </si>
  <si>
    <t>PAPER PHOTOCOPIER</t>
  </si>
  <si>
    <t>PAPER PHOTOCOPIER HAVING 80 GSM +/- 3% OF SIZE 210X297MM(A4)</t>
  </si>
  <si>
    <t>BOOK RULED 1 QUIRE</t>
  </si>
  <si>
    <t>BOOK RULED SIZE 20.5 CM WIDTH X 33 CMS LONG 1 QUIRE 65GSM PAPER</t>
  </si>
  <si>
    <t>BOOK RULED 2 QUIRE</t>
  </si>
  <si>
    <t>BOOK RULED SIZE 20.5 CM WIDTH X 33CMS LONG 2 QUIRE, 60GSM PAPER</t>
  </si>
  <si>
    <t>BOOK RULED 4 QUIRE</t>
  </si>
  <si>
    <t>BOOK RULED SIZE 20.5 CM WIDTH X 33CMS LONG 4 QUIRE, 65GSM PAPER</t>
  </si>
  <si>
    <t>FILE COVERS CARD BOARD THIN</t>
  </si>
  <si>
    <t>FILE COVERS CARD BD THIN</t>
  </si>
  <si>
    <t>FILE COVER CARD BOARD THICK</t>
  </si>
  <si>
    <t>FILE COVER CARD BOARD THICK RWF-1 AS PER SPECIFICATION NO.RWF/GSD/LS/02 &amp; ANNEXURE A &amp; B ENCLOSED</t>
  </si>
  <si>
    <t>OFFICE ATTENDENCE REGISTERS</t>
  </si>
  <si>
    <t>OFFICE ATTENDENCE REGISTERS GA-38/G49 (OLD) CONTAINING 48 SHEET AND WITH THICK BROWN WRAPPER</t>
  </si>
  <si>
    <t>HSD DIESEL</t>
  </si>
  <si>
    <t>BALL BEARING 6205ZZ</t>
  </si>
  <si>
    <t>BALL BEARING 6204ZZ</t>
  </si>
  <si>
    <t>BEARING SINGLE ROW DEEP GROOVE TO 6204ZZ</t>
  </si>
  <si>
    <t>BALL BEARING NO.6308</t>
  </si>
  <si>
    <t>ASBESTOS CLOTH</t>
  </si>
  <si>
    <t>ASBESTOS CLOTH 2MM THICK,1 MTR WIDTH WITH MINIMUM WEIGHT OF 1.25 KG PER METER LENGTH</t>
  </si>
  <si>
    <t>TRANSFORMER OIL 200 OR 210 LITRS DRUMS</t>
  </si>
  <si>
    <t>RE-CIRCULATION TRANSFORMER OIL PUMP</t>
  </si>
  <si>
    <t>RE-CIRCULATION TRANSFORMER OIL PUMP 4BTF2 OR 1143T, 4.3HP/3.2KW</t>
  </si>
  <si>
    <t>STATIC EARTHING DEVICE</t>
  </si>
  <si>
    <t>STATIC EARTHING DEVICE ASSEMBLY FOR WORKING VOLTAGE 4 K.V. FOR 12.1, 13.5 mv A ARC FURNACE TRANSFORMER</t>
  </si>
  <si>
    <t>COPPER BUS BAR FOR SPRUE WASH</t>
  </si>
  <si>
    <t>COPPER BUS BAR AS PER THE DRAWING NO. WAP/EL/SK/376 R3</t>
  </si>
  <si>
    <t>HYDRAULIC HOSE</t>
  </si>
  <si>
    <t>HYDRAULIC HOSE SAE 100R2 TO SIZE 1" ID, 6 METERS LONG WITH BOTH ENDS FEMALE SWIVEL CRIMPED STRAIGHT FITTING TO SIZE 1-5/16"-12 TPI UNF/ JIC 37 DEGREE</t>
  </si>
  <si>
    <t>STEEL REINFORCED VINYL HOSE (PVC) GREY COLOUR - 10MM</t>
  </si>
  <si>
    <t>STEEL WIRE REINFORCED VINYL (PVC)HOSE IN GREY COLOUR FOR ELECTRICAL WIRING "KI" TYPE ID OF 10 MM IN MINIMUM LENGTH OF 20MTRS</t>
  </si>
  <si>
    <t>STEEL REINFORCED VINYL HOSE (PVC) GREY COLOUR - 15MM</t>
  </si>
  <si>
    <t>HOSE VINYL HOSE ( P V C ) STEEL WIRE REINFORCED ID OF 15mm IN MINIMUM LENGTH OF 20 MTRS. FOR ELECTRICAL WIRING. COLOUR GREY</t>
  </si>
  <si>
    <t>STEEL REINFORCED VINYL HOSE (PVC) GREY COLOUR - 20MM</t>
  </si>
  <si>
    <t>HOSE VINYL (PVC) STEEL WIRE REINFORCED ID OF 20mm IN MINIUM LENGTH OF 20 MTRS FOR ELECTRICAL WIRING. COLOUR GREY</t>
  </si>
  <si>
    <t>STEEL REINFORCED VINYL HOSE (PVC) GREY COLOUR - 25MM</t>
  </si>
  <si>
    <t>STEEL REINFORCED VINYL HOSE (PVC) GREY COLOUR FOR ELECTRICAL WIRING K1 TYPE 1D OF 25MM</t>
  </si>
  <si>
    <t>STEEL REINFORCED VINYL HOSE (PVC) GREY COLOUR - 30MM</t>
  </si>
  <si>
    <t>HOSE VINYAL (PVC) STEEL WIRE REINFORCED ID OF 30 mm IN MINIMUM LENGTH OF 20 MTRS. FOR ELECTRICAL WIRING.COLOUR GREY (SPELLING MISTAKE)</t>
  </si>
  <si>
    <t>. GERMAN HOSE 12MM AND OD 15MM .+/-1MM</t>
  </si>
  <si>
    <t>POLYAMIDE CONDUIT MADE WITH PARALLEL GROVES, OIL PETROL, ACID AND SOLVENT RESISTANT, FLAME RETARDANT, SELF EXTINGUISHING FLEXIBLE WITH HIGH COMPRESSURE STRENGTH. SIMILAR TO SILVYN RILL PT NO. 61746950 OF LAPP MAKE. PIPE ID 12MM AND OD 15MM .+/-1MM. GERMAN HOSE</t>
  </si>
  <si>
    <t>. GERMAN HOSE GLAND12MM AND OD 15MM .+/-1MM</t>
  </si>
  <si>
    <t>POLYAMIDE STRAIGHT PROTECTIVE CONDUIT SCREW COUPLING FOR QUICK AND SECURE ASSEMBLY. SIMILAR TO SILVYN KLICK PT NO. 61800880 OF LAPP MAKE. SUITABLE FOR FLEXIBLE CONDUIT OF OUTSIDE OD 15.8MM AND LOCK NUT FOR HOSE GLAND, SIMILAR TO PT.NO.53019020 SKINTOP GMP-GL PG11 OF LAPP MAKE</t>
  </si>
  <si>
    <t>INDUSTRIAL POWER PLUGS INCLINED HANDLE 5 PIN(3P+N+E)</t>
  </si>
  <si>
    <t>INDUSTRIAL POWER PLUGS INCLINED HANDLE 5 PIN(3P+N+E) RATED FOR 30 AMPS AT 415 VOLTS 50HZ AC SPRING LOADED SILVER TIPPED BOLT TYPE CONTACTS 3/4" CONDUITS ENTRY,6SQ MM</t>
  </si>
  <si>
    <t>PANEL MOUNTING SOCKET 5 PIN (3P+N+E) RATED FOR 30 AMPS</t>
  </si>
  <si>
    <t>PANEL MOUNTING SOCKET 5 PIN (3P+N+E) RATED FOR 30 AMPS 415 VOLTS 50 HZ</t>
  </si>
  <si>
    <t>SET OF PLUG &amp; SOCKET 24PIN</t>
  </si>
  <si>
    <t>SET OF PLUG &amp; SOCKET 24PIN RATED FOR 16A, FOR PANEL MOUNTING IE., BOTTOM OPEN, SUITABLE FOR PG 21 GLAND</t>
  </si>
  <si>
    <t>SET</t>
  </si>
  <si>
    <t>RUBBER MOULDED FEMALE SOCKET &amp; MALE PLUG</t>
  </si>
  <si>
    <t>RUBBER MOULDED FEMALE SOCKET &amp; MALE PLUG AS PER DRG.NO.WAP/EL/SK/897 COPPER CABLE USED SHALL BE BUTYL RUBBER INSULATED FLEXIBLE MULTI STRANDED TINNED CONDUCTORS OF SIZE 70SQMM OF 1.1KV GRADE</t>
  </si>
  <si>
    <t>BUMPER FOR CLAMPING HOSE OF WATER COOLED CABLE OF FURNACE</t>
  </si>
  <si>
    <t>BUMPER(NATURAL &amp; SYNTHETIC)PROTECTIVE OF SINGLE CLAMP SUITABLE FOR CLAMPING 145MM OD HOSE OF WATER COOLED TYPE FURNACE</t>
  </si>
  <si>
    <t>NON-MAGNETIC STAINLESS STEEL BAND FOR CLAMPING BUMPERS ON HOSE</t>
  </si>
  <si>
    <t>NON-MAGNETIC STAINLESS STEEL BAND OF GRADE AISI 304 FOR 16MM WIDTH X 0.8MM THICK FOR CLAMPING BUMPERS ON HOSE</t>
  </si>
  <si>
    <t>NON MAGNETIC STAINLESS STEEL BOLT AND NUT SET 12MMX75MM</t>
  </si>
  <si>
    <t>NON MAGNETIC STAINLESS STEEL BOLT AND NUT SET 12MMX75MM LENGTH, FULLY THREADED, WITH 2 PLAIN WASHERS OF THICKNESS NOT LESS THAN 1.5MM, ONE SPRING WASHER OF SIZE 2.5MM, CHUCK NUT AND NUT</t>
  </si>
  <si>
    <t>NON MAGNETIC STAINLESS STEEL BOLT AND NUT SET M12X100MM</t>
  </si>
  <si>
    <t>NON MAGNETIC STAINLESS STEEL BOLT AND NUT SET M12X100MM LENGTH,FULLY THREADED WITH 2 PLAIN WASHERS OF THICKNESS NOT LESS THAN 1.5MM,ONE SPRING WASHER OF SIZE 2.5MM, CHUCK NUT AND NUT</t>
  </si>
  <si>
    <t>NON MAGNETIC STAINLESS STEEL BOLT AND NUT SET 14MMX75MM LENGTH</t>
  </si>
  <si>
    <t>NON MAGNETIC STAINLESS STEEL BOLT AND NUT SET 14MMX75MM LENGTH,FULLY THREADED WITH 2 PLAIN WASHERS OF THICKNESS NOT LESS THAN 1.5MM,ONE SPRING WASHER OF SIZE 2.5MM, CHUCK NUT AND NUT</t>
  </si>
  <si>
    <t>NON MAGNETIC STAINLESS STEEL BOLT AND NUT M16 X 75MM</t>
  </si>
  <si>
    <t>NON MAGNETIC STAINLESS STEEL BOLT AND NUT M16 X 75MM LENGTH,FULLY THREADED WITH 2PLAIN WASHERS OF THICKNESS NOT LESS THAN 1.5MM,ONE SPRING WASHER OF SIZE 2.5MM, ONE NUT AND CHUCK NUT</t>
  </si>
  <si>
    <t>NON MAGNETIC STAINLESS STEEL BOLT AND NUT SET 16MMX120MM</t>
  </si>
  <si>
    <t>BOLT AND NUT NON MAGNETIC STAINLESS STEEL OF SIZE 16MM DIA AND LENGTH 120MM THREADED FOR A LENGTH OF 90MM WITH ONE SPRING WASHER TWO PLAIN WASHER OF MINIMUM THICKNESS OF 1.5 MM EACH AND CHECK NUT</t>
  </si>
  <si>
    <t>HIGH SPEED STEEL HACKSAW BLADES</t>
  </si>
  <si>
    <t>HIGH SPEED STEEL HACKSAW BLADES(HAND)SIZE 300 X 12.5 X 0.63 MM(12" X 1/2" X 0.02")</t>
  </si>
  <si>
    <t>LEAD ACID STORAGE BATTERIES ,6 CELLS, RATED CAPACITY 12 VOLTS, 120/130AH</t>
  </si>
  <si>
    <t>LEAD ACID STORAGE BATTERIES FOR INDUSTRIAL/MOTOR VEHICLES, 6 CELLS, RATED CAPACITY 12 VOLTS, 120/130AH</t>
  </si>
  <si>
    <t>ROOF MOUNTED HEAT EXCHANGER</t>
  </si>
  <si>
    <t>ROOF MOUNTED HEAT EXCHANGER AS PER DRG NO RWF/EL/SK/WSC A3-2012-028 AIR VOLUME(INTERNAL CKT&amp; OUTER CKT): 965 CUBIC METRE/H; COOLING SURFACE: 4.4 SQ METER</t>
  </si>
  <si>
    <t>PANEL MOUNTING COOLER UNIT</t>
  </si>
  <si>
    <t>PANEL MOUNTING COOLER UNIT, OUTPUT COOLING CAPACITY: NOT LESS THAN 2000W, MOUNTING DIMENSIONS: (450 X 1000 X 300 )MM +/- 10 %</t>
  </si>
  <si>
    <t>STORAGE TYPE VERTICAL, AUTOMATIC ELECTRIC WATER HEATER</t>
  </si>
  <si>
    <t>STORAGE TYPE VERTICAL, AUTOMATIC ELECTRIC WATER HEATER WALL MOUNTING TYPE OF CAPACITY 100 LTS.3KW, WITH ADJUSTABLE THERMOSTAT AND LIGHT INDICATION FOR ON CONDITION. SUITABLE TO WORK ON 230V AC VOLTAGE</t>
  </si>
  <si>
    <t>HEATER CARTRIDGE 600WATT FOR DOME BAKING</t>
  </si>
  <si>
    <t>HEATER CARTRIDGE 600WATT HEATER CATRIDGE AS PER SPECIFICATION NO:WAP/EL/SPECEN/WS1005 DT 23/07/2002</t>
  </si>
  <si>
    <t>HEATER CARTRIDGES 1500W FOR CORE BAKING</t>
  </si>
  <si>
    <t>HEATER CARTRIDGES 1500W AS PER SPECIFICATION NO.WAP/EL/SPECEN/WS1006 DT.27/07/2002</t>
  </si>
  <si>
    <t>SHORT WAVE INFRA RED HEATER</t>
  </si>
  <si>
    <t>SHORT WAVE INFRA RED HEATER, AS PER DRG NO RWF/EL/WSC/2010-012</t>
  </si>
  <si>
    <t>GLOBE TYPE ON/OFF VALVE</t>
  </si>
  <si>
    <t>GLOBE TYPE ON/OFF VALVE FOR AIR SERVICE MODEL 100 SERIES OR EQUIVALENT WITH 110V, 50HZ AC OPERATED SOLENOID VALVE. THE VALVE SHALL BE OF AIR TO OPEN AND SPRING TO CLOSE TYPE. MAKE: M/S FORBES MARSHALL ARCA,ABB,FLOWSERVE</t>
  </si>
  <si>
    <t>GLOBE TYPE CONTROL VALVE</t>
  </si>
  <si>
    <t>GLOBE TYPE CONTROL VALVE.CONTROL VALVE UNIT AS PER FOLLOWING SPECIFICATION: INLET PRESSURE:45PSI,WORKING TEMP. 40-100 DEGREE C, SERVICE MEDIA: COMPRESSED AIR, SIZE OF THE VALVE:3"</t>
  </si>
  <si>
    <t>GUAGE PRESSURE TRANSMITTER INPUT SUPPLY MAX: 45 VDC,OUT PUT 4-20MA FOR POURING</t>
  </si>
  <si>
    <t>GUAGE PRESSURE TRANSMITTER INPUT SUPPLY MAX: 45 VDC,OUT PUT 4-20MA, MAX WP:7KG/CMSQ, CALIBRATION 0 TO 40 PSI. SIMILAR TO MODEL NO.1151GP6E12B1DFM4 OF ROSEMOUNT MAKE</t>
  </si>
  <si>
    <t>ELECTRO PNEUMATIC TRANSDUCERS</t>
  </si>
  <si>
    <t>ELECTRO PNEUMATIC TRANSDUCERS OF INPUT 4-20MA;OUTPUT 3 TO 15 PSI. MODEL NO.7716 OF MOORE MAKE OR EQUIVALENT</t>
  </si>
  <si>
    <t>NON CONTACT TYPE DIGITAL PYROMETER</t>
  </si>
  <si>
    <t>NON CONTACT TYPE DIGITAL PYROMETER, SUITABLE FOR TEMPERATURE RANGE UPTO 700DEG C. POWER SUPPLY 10- 30VDC WITH LINEAR ANALOG O/P OF 4-20MA, SUITABLE FOR MEASURING DISTANCE OF MIN. 1MTR, WITH EXTENSION CABLE OF MIN.15MTRS</t>
  </si>
  <si>
    <t>MICROPROCESSOR BASED REMOTE TEMPERATURE DISPLAY,SIZE 410X165X60MM</t>
  </si>
  <si>
    <t>MICROPROCESSOR BASED REMOTE TEMPERATURE DISPLAY,OPERATING VOLTAGE 230V OR 110 AC, INPUT 4-20MA WITH CALIBRATION FACILITY, TO MEASURE TEMPERATURE UPTO 600DEGC. NO. OF DIGITS SHALL BE 3 1/2 WITH LED DISPLAY OF 4",7SEGMENT SUITABLE FOR PANEL/WALL MOUNTING TYPE OF SIZE 410X165X60MM</t>
  </si>
  <si>
    <t>4" DIGITAL TEMPERATURE DISPLAY, 440x175x70mm (WxHxD)</t>
  </si>
  <si>
    <t>DIGITAL AMMETER SINGLE PHASE, UNIVERSAL AUXILIARY SUPPLY-80 TO 300VAC/DC, OF SIZE 96X96SQMM</t>
  </si>
  <si>
    <t>DIGITAL AMMETER SINGLE PHASE,CLASS1.0,PANEL FLUSH MOUNTED,BRIGHT 4 DIGIT 14MM LED DISPLAY,PUSH BUTTON BASED SITE PROGRAMMING OF CT RATIO,UNIVERSAL AUXILIARY SUPPLY-80 TO 300VAC/DC, OF SIZE 96X96SQMM</t>
  </si>
  <si>
    <t>"N" TYPE DUPLEX THERMOCOUPLE FOR LPH</t>
  </si>
  <si>
    <t>"N" TYPE THERMOCOUPLE,DUPLEX ELEMENT,MINERAL INSULATED,THE ELEMENT DIMENSION SHALL BE NOT LESS THAN 1MM. IN 600MM LONG TUBE OF DIA 19MM COMPLETE WITH ADJUSTABLE FLANGE AND CAST ALUMINIUM HEAD WITH JUNCTION BOX</t>
  </si>
  <si>
    <t>"N" TYPE DUPLEX THERMOCOUPLE FOR NF</t>
  </si>
  <si>
    <t>N' TYPE THERMOCOUPLE DUPLEX MINERAL INSULATED FOR WORKING TEMPERATURE OF 1200 DEG.CONTINOUS. HOT JUNCTION UNGROUNDED THE LENGTH OF THE THEMOCOUPLE 650 MM</t>
  </si>
  <si>
    <t>"J" TYPE SIMPLEX THERMOCOUPLE</t>
  </si>
  <si>
    <t>J TYPE THERMOCOUPLE SIMPLEX MINERAL INSULATED FOR WORKING TEMPERATURE OF 500 DEG C,UNGROUNDED AS PER DRAWING NO:RWF/EL/WSC/TC/A4-2008 008 R.1</t>
  </si>
  <si>
    <t>"J" TYPE DUPLEX THERMOCOUPLE</t>
  </si>
  <si>
    <t>" J TYPE THERMOCOUPLE DUPLEX MINERAL INSULATED FOR WORKING TEMPERATURE OF 600 DEG CONTINUOUS.HOT JUCTION UNGROUNDED.THE LENGTH OF THE THERMOCOUPLE 1000MM WITH ADJUSTABLE FLANGE</t>
  </si>
  <si>
    <t>BRASS END TERMINALS FOR MPO HEATERS</t>
  </si>
  <si>
    <t>BRASS END TERMINALS FOR MPO HEATERS AS PER DRAWING NO.WAP/EL/SK/744</t>
  </si>
  <si>
    <t>COPPER PIN TYPE TUBULAR LUGS FOR COPPER CONDUCTORS SIZE 16 SQ.MM</t>
  </si>
  <si>
    <t>COPPER PIN TYPE ELECTRO TINNED TERMINAL ENDS FOR SOLDERLESS CRIMPING TO COPPER CONDUCTORS 16SQMM</t>
  </si>
  <si>
    <t>COPPER TUBULAR LUGS FOR COPPER CONDUCTORS SIZE 35 SQ.MM</t>
  </si>
  <si>
    <t>COPPER TUBULAR ELECTRO TINNED END TERMINALS FOR SOLDERLESS CRIMPING TO COPPER CONDUCTORS SIZE 35SQ.MM</t>
  </si>
  <si>
    <t>COPPER TUBULAR LUGS FOR COPPER CONDUCTORS SIZE 50 SQ.MM</t>
  </si>
  <si>
    <t>COPPER TUBULAR ELECTRO TINNED TERMINALS ENDS FOR SOLDERLESS CRIMPING TO COPPER CONDUCTORS SIZE 50 SQMM</t>
  </si>
  <si>
    <t>COPPER TUBULAR LUGS FOR COPPER CONDUCTORS SIZE 70 SQ.MM</t>
  </si>
  <si>
    <t>COPPER TUBULAR ELECTRO TINNED TERMINAL ENDS FOR SOLDERLESS CRIMPINNG TO COPPER CONDUCTORS SIZE 70 SQ.MM</t>
  </si>
  <si>
    <t>COPPER TUBULAR LUGS FOR COPPER CONDUCTORS SIZE 120 SQ.MM</t>
  </si>
  <si>
    <t>COPPER TUBULAR ELECTRO TINNED TERMINAL ENDS FOR SOLDERLESS CRIMPING TO COPPER CONDUCTORS SIZE 120 SQ.MM</t>
  </si>
  <si>
    <t>MICANITE TUBES</t>
  </si>
  <si>
    <t>MICANITE TUBES 5/8" (15.8MM) O.D. X 1/2" (12.5MM) I.D. OF 80 MM LENGTHS</t>
  </si>
  <si>
    <t>FABRICATED M.S. TROLLEY BRACKET FOR EOT CRANES</t>
  </si>
  <si>
    <t>FABRICATED M.S. TROLLEY BRACKET COMPLETE WITH SEALED BEARINGS COMPLETE SET AS PER DRAWING NO. WAP/EL/368 ( ONE SET CONSISTING OF 4 BRACKETS AND 4 BEARINGS)</t>
  </si>
  <si>
    <t>GRAVITY TYPE CURRENT COLLECTOR FOR EOT CRANE</t>
  </si>
  <si>
    <t>GRAVITY TYPE CURRENT COLLECTOR AS PER DRAWING NO: WAP/EL/SK/588</t>
  </si>
  <si>
    <t>SET OF CURRENT COLLECTOR FOR MONO RAILS</t>
  </si>
  <si>
    <t>SET OF CURRENT COLLECTOR CONSISTING OF 1NUMBER COLLECTOR PT NO.1-18150-000 AND 1NUMBER COLLECTOR SHOES PT NO.1-18151 SUITABLE FOR CLEVELAND SAFPOWRBAR</t>
  </si>
  <si>
    <t>MOULD PRE HEAT HEATING ELEMENT</t>
  </si>
  <si>
    <t>HEATING ELEMENT MOULD PRE HEAT HEATING ELEMENT OF 2.9KW AT 110V</t>
  </si>
  <si>
    <t>MOULD HOLDING OVEN HEATING ELEMENT</t>
  </si>
  <si>
    <t>MOULD HOLDING OVEN HEATING ELEMENT AS PER OUR DRG NO. WAP/EL /SK /848 R2</t>
  </si>
  <si>
    <t>TUBE PRE HEAT HEATING ELEMENT</t>
  </si>
  <si>
    <t>HEATING ELEMENT FOR TUBE PRE-HEAT OVEN AS PER DRAWING NO.WAP/EL/SK 435 R5</t>
  </si>
  <si>
    <t>TUBE HOLDING OVEN HEATING ELEMENT</t>
  </si>
  <si>
    <t>HEATING ELEMENT FOR TUBE HOLDING OVEN. AS PER DRAWING NO.WAP/EL/SK-759 R2</t>
  </si>
  <si>
    <t>POWER CONTACTOR, MECHANICALLY INTERLOCKED FORWARD REVERSE, 16A, 24 AC</t>
  </si>
  <si>
    <t>FORWARD &amp; REVERSE POWER CONTACTOR SET 16 AMPS MECHANICALLY INTERLOCKED 3 POLE AC POWER CONTACTOR RATED FOR 16 AMPS</t>
  </si>
  <si>
    <t>POWER CONTACTOR, 16A, 110V AC</t>
  </si>
  <si>
    <t>POWER CONACTOR 16A 3 POLE, 3PH, 415V, AC, AC-3 DUTY COIL OPERATING VOLTAGE 110V AC 50Hz</t>
  </si>
  <si>
    <t>POWER CONTACTOR, 16A, 230V AC</t>
  </si>
  <si>
    <t>POWER CONTACTOR 3POLE 16A,AC3 DUTY,415V,50HZ.AUXILIARY CONTACT 2NO+2NC RATED FOR 4A AT AC15 DUTY. THE OPERATING COIL VOLTAGE 230V,50HZ AC</t>
  </si>
  <si>
    <t>POWER CONTACTOR, 16A, 440V AC</t>
  </si>
  <si>
    <t>POWER CONTACTOR COMPACT TYPE WITH SIDE COIL CONNECTION, 16A 3PHP 3 POLE, 440V AC</t>
  </si>
  <si>
    <t>POWER CONTACTOR, MECHANICALLY INTERLOCKED FORWARD REVERSE, 25A, 110V AC</t>
  </si>
  <si>
    <t>MECHANICAL INTERLOCKED F/R POWER CONTACTORS RATED FOR 25 A AT AC3 DUTY WITH 3 MAIN POWER CONTACTS AND TWO NO PLUS NC AUXILARY CONTACTS IN EACH CONTACTOR. COIL OPERATING VOLTAGE 110 50 HZ</t>
  </si>
  <si>
    <t>POWER CONTACTOR, 25A, 230V AC</t>
  </si>
  <si>
    <t>POWER CONTACTOR 3POLE RATED FOR 25A AT 415VOLTS AC 3 DUTY,OPERATING COIL VOLTAGE 230V AC 50HZ</t>
  </si>
  <si>
    <t>POWER CONTACTOR, 63A, 110V AC</t>
  </si>
  <si>
    <t>POWER CONTACTOR 63A, 3POLE, 3PH 415V AC, AC-3 DUTY, COIL OPERATING VOLTAGE 110V AC 50HZ WITH 2NO+2NC</t>
  </si>
  <si>
    <t>POWER CONTACTOR, MECHANICALLY INTERLOCKED FORWARD REVERSE, 63A, 110V AC</t>
  </si>
  <si>
    <t>POWER CONTACTOR F/R MECHANICALLY INTERLOCKED,3 POLE CONTACTOR RATED FOR 63A AT 415V AC. OPERATING COIL VOLTAGE 110V,50HZ AC</t>
  </si>
  <si>
    <t>POWER CONTACTOR, 63A, 230V AC</t>
  </si>
  <si>
    <t>POWER CONTACTOR 63A,415V,AC3 DUTY WITH 2NO + 2NC AUX. CONTACTS AND 230V 50 HZ A.C. OPERATING COIL</t>
  </si>
  <si>
    <t>CONTACTOR L &amp; T MAKE OR EQUIVALENT 63A, 415V, 3PH ML-4 COIL OPERATING VOLTAGE 230-260V A.C. 50 HZ</t>
  </si>
  <si>
    <t>POWER CONTACTOR, 80A, 110V AC</t>
  </si>
  <si>
    <t>AIR BREAK CONTACTOR, 110V AC, 80AMPS</t>
  </si>
  <si>
    <t>POWER CONTACTOR, 100A, 110V AC</t>
  </si>
  <si>
    <t>POWER CONTACTOR 3-POLE,100AMPS,415V,50HZ,AT AC3 DUTY.THE OPERATING COIL VOLTAGE 110V AC 50HZ</t>
  </si>
  <si>
    <t>POWER CONTACTOR, 170A, 110V AC</t>
  </si>
  <si>
    <t>POWER CONTACTOR 170A, 3POLE ,3PHASE,415V AC AC3 DUTY , COIL OPERATING VOLTAGE 110V AC WITH 2NO+2NC AUX. CONTACTS</t>
  </si>
  <si>
    <t>POWER CONTACTOR, 185A, 110V AC</t>
  </si>
  <si>
    <t>POWER CONTACTOR,3-POLE,185 AMPS,415V,50HZ,AT AC3 DUTY.THE OPERATING COIL VOLTAGE 110V AC 50HZ</t>
  </si>
  <si>
    <t>POWER CONTACTOR, MECHANICALLY INTERLOCKED FORWARD REVERSE, 185A, 240V AC</t>
  </si>
  <si>
    <t>MECHANICALLY INTERLOCKED FORWARD REVERSE, 3POLE POWER CONTACTOR 185A RATED, OPERATING COIL VOLTAGE 240V AC</t>
  </si>
  <si>
    <t>POWER CONTACTOR, 200A, 24V AC</t>
  </si>
  <si>
    <t>AIR BREAK CONTACTOR, 24V AC, 200AMPS</t>
  </si>
  <si>
    <t>POWER CONTACTOR, 200A, 110V AC</t>
  </si>
  <si>
    <t>POWER CONTACTOR 3POLE, RATED FOR 200A, AC3 DUTY AT 415V, 50HZ AC WITH 2NO+2NC AUXILIARY CONTACTS RATED FOR 4A IN EACH CONTACTOR. THE OPERATING COIL VOLTAGE 110V, 50HZ AC</t>
  </si>
  <si>
    <t>POWER CONTACTOR, 200A, 120V DC</t>
  </si>
  <si>
    <t>DC CONTACTOR NO. OF POLES:3,(2NO+1NC).CURRENT RATING:200A,COILOPERATING VOLTAGE:220V DC</t>
  </si>
  <si>
    <t>POWER CONTACTOR, MECHANICALLY INTERLOCKED FORWARD REVERSE, 260A, 240V AC</t>
  </si>
  <si>
    <t xml:space="preserve">AIR BREAK FORWARD &amp; REVERSE MECHANICALLY INTERLOCKED CONTACTOR SET, 230V AC, 260AMPS </t>
  </si>
  <si>
    <t>POWER CONTACTOR, 300A, 230V AC</t>
  </si>
  <si>
    <t>AIR BRAKE POWER CONTACTOR 3 POLE AC3 DULY RATED FOR 300 AMPS AT 415V 50 HZ AC THE OPERATING COIL VOLTAGE 230 V 50 HZ AC SIMLAR TO PAK225US</t>
  </si>
  <si>
    <t>POWER CONTACTOR, 630A, 110V AC</t>
  </si>
  <si>
    <t>CONTACTOR POWER 630 AMPS AC DUTY 3 POLE IN OPEN EXECUTION (AC3) FRANGE SIMILAR TO TELEMECANIQUE</t>
  </si>
  <si>
    <t>CONTACT KIT FOR 170 AMPS CONTACTOR</t>
  </si>
  <si>
    <t>CONTACT KIT CONSISTING OF 3 NOS OF MOVING CONTACTS AND 6 NOS OF FIXED CONTACTS AND 3 SETS OF SPRINGS FOR 170 AMPS TYPE 150 US</t>
  </si>
  <si>
    <t>DIRECT ONLINE STARTER, 20A, O/L RELAYS ADJUSTABLE BETWEEN 13.2 - 20 AMP</t>
  </si>
  <si>
    <t>DIRECT ONLINE STARTER (MINIMANUAL)WITHOUT NO VOLT COIL IN STEEL ENCLOSURE WITH 20A,CONTINUOUS CONTACT RATING AND O/L RELAYS ADJUSTABLE BETWEEN 13.2 - 20AMP</t>
  </si>
  <si>
    <t>CONTROL RELAY, 24V DC, 2NO + 2NC</t>
  </si>
  <si>
    <t>CONTROL RELAY 4 NO + 4 NC OPERATING COIL 24 V DC WITH MOUNTING FACILITY OF TYPE CA2 DN2220 BDA 60 + LAID22 TELEMECANIQUE MAKE</t>
  </si>
  <si>
    <t>CONTROL RELAY, 24V AC, 2NO + 2NC</t>
  </si>
  <si>
    <t>RELAY 24 V AC CONTROL RELAY WITH 2NO+2NC CONTACTS RATED FOR 4AMPS AT AC1L OPERATING COIL VOLTAHGE 24V AC WITH DIN RAIL MOUNTING</t>
  </si>
  <si>
    <t>CONTROL RELAY, 110V AC, 3NO + 1NC</t>
  </si>
  <si>
    <t>CONTROL RELAY WITH 4 NO+ 2NC CONTACTS RATED FOR 4 AMPS AT 440V AC 11 DUTY WITH 110V 50HZ AC OPERATING COIL</t>
  </si>
  <si>
    <t>CONTROL RELAY, 110V AC, 4NO + 4NC</t>
  </si>
  <si>
    <t>CONTROL RELAYS 4 NO + 4 NC CONTACTS 2 NO + 2 NC IN MAIN CONTACTOR AND 2 N0 + 2 NC IN ADD ON BLOCK. THE CONTACTS ARE RATED FOR 4 AMPS AT 415 VOLTS 50 HZ, AC WITH 110 VOLTS 50 HZ AC OPERATING COIL. POWER CONTACTOR 16AMPS</t>
  </si>
  <si>
    <t>CONTROL RELAY, 230V AC, 4NO + 4NC</t>
  </si>
  <si>
    <t>CONTROL RELAY 4NO+4NC RATED FOR 4A AT AC 11 DUTY WITH 230V 50 HZ AC COIL</t>
  </si>
  <si>
    <t>CONTROL RELAYS 4NO + 4NC,AC-11 DUTY RATED FOR 4 AMP WITH 230V,50HZ OPERATING COIL</t>
  </si>
  <si>
    <t>CONTROL RELAY, 230V AC, 2NO + 2NC</t>
  </si>
  <si>
    <t>CONTROL RELAYS 2N0 + 2NC RATED FOR 4 AMPS,AC-11 DUTY,WITH 230 V,AC OPERATING COIL</t>
  </si>
  <si>
    <t>MCB 2A, 1 POLE</t>
  </si>
  <si>
    <t>MINIATURE CIRCUIT BREAKER 2A SINGLE POLE FOR MOTOR DUTY</t>
  </si>
  <si>
    <t>MCB 10AMPS, 2 POLE</t>
  </si>
  <si>
    <t>MCB 10AMPS, 2 POLE WITH COMMON TRIPPING MECHANISM</t>
  </si>
  <si>
    <t>TWO POLE MCB OF 10 AMPS RATING AT 230V 50HZ AC</t>
  </si>
  <si>
    <t>MCB 16AMPS, 3 POLE</t>
  </si>
  <si>
    <t>MCB 16AMPS, 3 POLE WITH COMMON TRIPPING MECHANISM</t>
  </si>
  <si>
    <t>MCB 20A, 2 POLE</t>
  </si>
  <si>
    <t>MINIATURE CIRCUIT BREAKER 20A. 230V 50HZ DOUBLE POLE</t>
  </si>
  <si>
    <t>MCB 32AMPS, 3 POLE</t>
  </si>
  <si>
    <t>MCB 32AMPS, 3 POLE WITH COMMON TRIPPING MECHANISM</t>
  </si>
  <si>
    <t>MPCB, RATED CURRENT 2.4A, CURRENT SETTING 1.6- 2.4A</t>
  </si>
  <si>
    <t>THERMAL MAGNETIC MOTOR CIRCUIT BREAKER 3PH, 415V, RATED CURRENT 2.4A, DUTY AC3, COVERING A MINIMUM CURRENT SETTING RANGE FROM 1.6 - 2.4A</t>
  </si>
  <si>
    <t>MPCB, RATED CURRENT 4A, CURRENT SETTING 2.4- 4A</t>
  </si>
  <si>
    <t>THERMAL MAGNETIC MOTOR CIRCUIT BREAKER 3 PH, 415V, RATED CURRENT 4A, DUTY AC3, CURRENT SETTING SHALL BE 2.4-4A</t>
  </si>
  <si>
    <t>MPCB, RATED CURRENT 6A, CURRENT SETTING 4- 6A</t>
  </si>
  <si>
    <t>THERMAL MAGNETIC MOTOR CIRCUIT BREAKER 3PH, 415V, RATED CURRENT 6A, DUTY AC3, CURRENT SETTING SHALL BE 4-6A</t>
  </si>
  <si>
    <t>MPCB, RATED CURRENT 13A, CURRENT SETTING 8- 13A</t>
  </si>
  <si>
    <t>MOTOR PROTECTION CIRCUIT BREAKER RATED FOR 13A WITH 1NO+1NC AUX. CONTACTS WITH OVERLODE SETTING 6-10A WITH MANUAL ON/OFF PROVISION</t>
  </si>
  <si>
    <t>MPCB, RATED CURRENT 16A, CURRENT SETTING 10- 16A</t>
  </si>
  <si>
    <t>MOTOR PROTECTION CIRCUIT BREAKER RATED FOR 16A WITH 1NO+1NC AUX. CONTACTS WITH OVERLOAD SETTING 10-16A WITH MANUAL ON/OFF PROVISION</t>
  </si>
  <si>
    <t>MPCB, RATED CURRENT 20A, CURRENT SETTING 14- 20A</t>
  </si>
  <si>
    <t>THERMAL MAGNETIC MOTOR CIRCUIT BREAKER 3PH,415V,RATED CURRENT 20A, DUTY AC3, CURRENT SETTING 14 - 20A</t>
  </si>
  <si>
    <t>MPCB, RATED CURRENT 25A, CURRENT SETTING 16- 25A</t>
  </si>
  <si>
    <t>THERMAL MAGNETIC MOTOR CIRCUT BREAKER 3PH, 415V,RATED CURRENT 25A, DUTY AC3, CURRENT SETTING 16 - 25A</t>
  </si>
  <si>
    <t>MPCB, RATED CURRENT 32A, CURRENT SETTING 22- 32A</t>
  </si>
  <si>
    <t>THERMAL MAGNETIC MOTOR CIRCUIT BREAKER 3PH, 415V, RATED CURRENT 32A, DUTY AC3, CURRENT SETTING SHALL BE 22- 32A</t>
  </si>
  <si>
    <t>MPCB, RATED CURRENT 40A, CURRENT SETTING 28- 40A</t>
  </si>
  <si>
    <t>THERMAL MAGNETIC MOTOR CIRCUIT BREAKER 3PH,415V, RATED CURRENT 40A, DUTY AC3, CURRENT SETTING SHALL BE 28-40A</t>
  </si>
  <si>
    <t>MPCB, RATED CURRENT 63A, CURRENT SETTING 45- 63A</t>
  </si>
  <si>
    <t>MOTOR PROTECTION CIRCUIT BREAKER RATED FOR 63A AT AC3 DUTY WITH 1NO + 1NC AUX. CONTACTS, ADJUSTABLE OVERLOAD SETTINGS: 45-63 AMPS</t>
  </si>
  <si>
    <t>MPCB, RATED CURRENT 80A, CURRENT SETTING 56- 80A</t>
  </si>
  <si>
    <t>MOTOR PROTECTION CIRCUIT BREAKER RATED FOR 80A AT AC3 DUTY WITH 1NO + 1NC AUX. CONTACTS, ADJUSTABLE OVERLOAD SETTINGS 56-80A WITH MANUAL ON/ OFF PROVISION.</t>
  </si>
  <si>
    <t>MCCB, RATED CURRENT 100A</t>
  </si>
  <si>
    <t>100 AMPS MOULD CASE CIRCUIT BREAKER, 3 POLE, RATED VOLTAGE: 415 VOLT</t>
  </si>
  <si>
    <t>MCCB, RATED CURRENT 250A, CURRENT RATING 250A</t>
  </si>
  <si>
    <t>MCCB 250A 3 POLE MOULED CASE CIRCUIT BREAKER, RATED VOLTAGE 415V, RATED CURRENT 250A, 3PH,50HZ. THE THERMAL O/L SETTING SHAL BE VATRIABLE COVERING A MINIMUM RANGE OF 200 TO 250A</t>
  </si>
  <si>
    <t>MPCB, RATED CURRENT 630A, CURRENT SETTING 500- 630A</t>
  </si>
  <si>
    <t>MCCB 630 A, 3 POLE MOULED CASE CIRCUIT BREAKER, RATED VOLTAGE 415V, RATED CURRENT 630A, 3PH, 50HZ. THE THERMAL O/L SETTING SHALL BE VARIABLE COVERING A MINIMUM RANGE OF 500 TO 630A</t>
  </si>
  <si>
    <t>MCCB, RATED CURRENT 800A</t>
  </si>
  <si>
    <t>MCCB,800A 3-POLE, MOULDED CASE CIRCUIT BREAKER,RATED VOLTAGE 415V, RATED CURRENT 800A, 3PH, 50HZ</t>
  </si>
  <si>
    <t>MPCB 18-26AMPS</t>
  </si>
  <si>
    <t>MOTOR PROTECTION CIRCUIT BREAKER 18-26AMPS</t>
  </si>
  <si>
    <t>OVER LOAD RELAY, RANGE OF 40-57A</t>
  </si>
  <si>
    <t>BI-METALIC THERMAL OVER LOAD RELAYS INDIVIDUAL MOUNTING THREE POLE WITH ONE SET POTENTIAL FREE TRIP CONTACT, RATED FOR 4 AMPS ADJUSTABLE IN RANGE OF 40-57A</t>
  </si>
  <si>
    <t>HRC FUSES 2A</t>
  </si>
  <si>
    <t>FUSES HRC TO IS2208 ENGLISH ELECTRIC OR EQUIVALENT TYPE NS2 415V 2A</t>
  </si>
  <si>
    <t>HRC FUSES 16A</t>
  </si>
  <si>
    <t>FUSES HRC TO IS:2208 ENGLISH ELECTRIC/EQUIVALENT. TYPE NS 16 415V 16A</t>
  </si>
  <si>
    <t>HRC FUSES 32A</t>
  </si>
  <si>
    <t>HRC FUSES 32AMPS,415V TYPE TIA</t>
  </si>
  <si>
    <t>HRC FUSES 63A</t>
  </si>
  <si>
    <t>FUSES HRC 63AMPS, 415V, BREAKING CAPACITY 80KA OFFSET TAG BOLTED TYPE TIS</t>
  </si>
  <si>
    <t>HRC FUSES 80A</t>
  </si>
  <si>
    <t>HRC FUSE LINKS SIZE 00, DIN TYPE 80 A RUPTURING CAPACITY NOT LESS THAN 80KA AT 415V,50HZ</t>
  </si>
  <si>
    <t>HRC FUSES 100A</t>
  </si>
  <si>
    <t>100 AMPSHRC FUSE, BLADE TAG</t>
  </si>
  <si>
    <t>HRC FUSES 200A</t>
  </si>
  <si>
    <t>HRC FUSES SUITABLE FOR PROTECTING GERMANIUM &amp; SILICON RECTIFIER ENGLISH ELECTRIC TYPE GS 1000 OF 200 AMPS, 600 V, RATINGS WITHOUT TRIP INDICATOR</t>
  </si>
  <si>
    <t>FUSES SITOR 500A</t>
  </si>
  <si>
    <t>SITOR FUSES 500 AMPS</t>
  </si>
  <si>
    <t>HRC FUSES 800A</t>
  </si>
  <si>
    <t>HRC FUSE 800A,690V,IR 700-200KA,DIN3,SQUARE BODY WITH DUAL INDICATION HIGH SPEED FUSE</t>
  </si>
  <si>
    <t>SEMICONDUCTOR FUSES 110A</t>
  </si>
  <si>
    <t>SEMICONDUCTOR FUSE 110A 100KA RUPTURING CAPACITY TYPE GSG 1000-110A OF EE MAKE OR ITS EQUIVALENT</t>
  </si>
  <si>
    <t>SEMICONDUCTOR FUSES 150A</t>
  </si>
  <si>
    <t>RELAY ON DELAY WITH ADJUSTABLE SETTING OF 0.2 TO 30sec, PNEUMATIC TYPE</t>
  </si>
  <si>
    <t>DIGITAL TIMER THUMB WHEEL TYPE OF SIZE 72X72mm</t>
  </si>
  <si>
    <t>DIGITAL TIMER THUMB WHEEL TYPE. DIGITAL TIMER OF SIZE 72X72mm</t>
  </si>
  <si>
    <t>PROGRAMMABLE SEQUENCES TIMER</t>
  </si>
  <si>
    <t>PROGRAMMABLE SEQUENCES TIMER 10 CHANNEL WITH ADJUSTABLE TIME RANGE 0.1 SEC TO 99 HRS. WITH PROVISION TO SAVE THE PROGRAMME OPERATING VOLTAGE 110VAC OR 230 VAC</t>
  </si>
  <si>
    <t>RELAY LOGIC MODULE 8CHANNEL</t>
  </si>
  <si>
    <t>RELAY LOGIC MODULE 8CHANNEL, ONE CHANGEOVER CONTACT, 110VAC COIL THE RELAY USED IN THE COIL SHALL BE OF OMRON MAKE G2R2 SERIES WITH FUSE FOR OUTPUT PROTECTION, PLUGGABLE SOCKET TYPE &amp; DINRAIL MOUNTING</t>
  </si>
  <si>
    <t>PROXIMITY SCANNER OF SENSING DISTANCE 10 CMS TO 90 CMS ADJUSTABLE. OPERATING VOLTAGE 15 V TO 260 V AC</t>
  </si>
  <si>
    <t>PROXIMITY SCANNER OF SENSING DISTANCE 10 CMS TO 90 CMS ADJUSTABLE. OPERATING VOLTAGE 15 V TO 260 V AC WITH 1 NO RELAY OUT PUT CONTACTS RATED FOR 1A AT 250 V AC SIMILAR TO DATALOGIC MAKE</t>
  </si>
  <si>
    <t>PROXIMITY SCANNER OF 18MM TUBULAR OF.SENSING DISTANCE 80MM TO 200MM, ADJUSTABLE OPERATING VOLATAGE 24 TO 230VAC</t>
  </si>
  <si>
    <t>PROXIMITY SCANNER OF 18MM TUBULAR IN PLASTIC/METAL HOUSING, 2 WIRE AC VERSION OF NOMINAL VOLTAGE 24 TO 230VAC WITH 2M CABLE.SENSING DISTANCE 80MM TO 200MM</t>
  </si>
  <si>
    <t>EMITTER RECEIVER TYPE PHOTO SWITCH ASSEMBLY COMPLETE SET</t>
  </si>
  <si>
    <t>BCH LIMIT SWITCH SHORT ARM</t>
  </si>
  <si>
    <t>OIL TIGHT LIMIT SWITCHES WITH ROLLER LEVER OPERATOR,ROTARY SHAFT TYPE SPRING RETURN TO CENTRE WITH CLOCKWISE COUNTER CLOCKWISE OR BOTH DIRECTION OPERATING OPTIONS ROLLER LEVER SHALL BE 38MM LENGTH 19MM DIA AND 8MM THICK. THE LIMIT SWITCH SHALL BE OF BHARATHIA CUTLER HAMMER MAKE</t>
  </si>
  <si>
    <t>BCH LIMIT SWITCH</t>
  </si>
  <si>
    <t>OIL TIGHT LIMIT SWITCHES WITH ROLLER LEVER OPERATOR</t>
  </si>
  <si>
    <t>JAI BALAJI LIMIT SWITCH</t>
  </si>
  <si>
    <t>SWITCHES LIMIT, ROTARY LEVER OPERATING TYPE, SPRING RETURN TO CENTRE WITH OPTION OF CLOCKWISE, COUNTER CLOCKWISE OR BOTH DIRECTION. THE OPERATING HEAD SHALL BE ADJUSTABLE IN FOUR 90 DEGREE POSITIONS APART. THE OPERATING LEVER SHALL BE ADJUSTABLE TYPE OF MAXIMUM 82.5MM WITH 19MM OPERATING ROLLERS. SIMILAR TO BCH MAKE TYPE E5OL CAT.NO.NLLA</t>
  </si>
  <si>
    <t>HEAVY DUTY LIMIT SWITCH</t>
  </si>
  <si>
    <t>HEAVY DUTY LIMIT SWITCH 25A,600V ACOR DC CONFORMING TO IS 13947 PT-I,PT-V/SEC-I,1993 AND TYPE JC-1125, BMK-9 WITH 1NO + 1NC CONTACT RATED FOR 25A ARM LENGTH 102MM.ARM AND ROLLER MADE OF METAL OF M/S JAI BALAJI AND CO OR EQUIVALENT</t>
  </si>
  <si>
    <t>STEEL MILL HEAVY DUTY WEIGHT OPRATED GRAVITY LIMIT SWITCH</t>
  </si>
  <si>
    <t>STEEL MILL HEAVY DUTY WEIGHT OPRATED GRAVITY LIMIT SWITCH 500V, 10 AMPS, 2NC CONTACTS WITH SET OF ACCESSORIES COMPRISING OF 1 NO COUNTER WEIGHT, 2METERS 4MM DIA WIRE ROPE, 4NOS D SHACKLES FOR ROPE CLAMPING</t>
  </si>
  <si>
    <t>LIGHT DUTY OVER TRAVEL CONTROL UNIT</t>
  </si>
  <si>
    <t>OVER TRAVEL CONTROL UNIT FOR LIMIT SWITCHES COMPLETE WITH HIGH TENSION BOLTS AND NUTS. ALUMINIUM DISC AND GALVANISED STEEL FRAME AS PER DRG.NO.WAP/EL/SK/ 356 R5</t>
  </si>
  <si>
    <t>HEAVY DUTY OVER TRAVEL CONTROL UNIT</t>
  </si>
  <si>
    <t>HEAVY DUTY OVER TRAVEL CONTROL AS PER DRG.NO.RWF/EL/WSC/OTC/A3-2008 003 REV.R1</t>
  </si>
  <si>
    <t>ADJUSTABLE ROLLER LEVER FOR JAI BALAJI LIMIT SWITCH</t>
  </si>
  <si>
    <t>ADJUSTABLE ROLLER LEVER 32 TO 82.5 MM WITH METAL ROLLER OF 19MM DIA 8 MM WIDTH PART NO.BC9LA OF JAI BALAJI MAKE OR EQUIVALENT. SUITABLE FOR JAI BALAJI MAKE LIMIT SWITCH MODEL NO.JLSLA</t>
  </si>
  <si>
    <t>ADJUSTABLE ROLLER LEVER FOR BCH LIMIT SWITCH</t>
  </si>
  <si>
    <t>ROLLER LEVER, ADJUSTABLE,32MM TO 82.5MM LEVER 19MM DIA X 8MM WIDE METAL ROLLER.AS PER ITEM NO.1 OF DRAWING NO.RWF/EL/WSC/2010-011</t>
  </si>
  <si>
    <t>NYLON LEVER ASSEMBLY FOR LIMIT SWITCHES</t>
  </si>
  <si>
    <t>NYLON LEVER ASSEMBLY FOR LIMIT SWITCHES, 360mm LONG NYLON ROD COMPLETE SET AS PER DRAWING NO. RWF/EL/W/A4-2006-01 FOR AXLE SHOP CONTROL</t>
  </si>
  <si>
    <t>SCREWS WITH TWO NUTS TWO FLAT WASHERS OF SCREWS SIZE M5 AND LENGTH 60MM</t>
  </si>
  <si>
    <t>SLOTTED CHEESE HEAD MS FRICTION GRIP SCREWS WITH TWO NUTS TWO FLAT WASHERS OF SCREWS SIZE M5 AND LENGTH 60MM FULLY THREADED(0.8MM PITCH)</t>
  </si>
  <si>
    <t>JOYSTIC CONTROLLER</t>
  </si>
  <si>
    <t>JOYSTIC CONTROLLER OF 22 MM DIA, FIXING CENTRE 85 X 85 mm SINGLE NOTCH FOUR WAY SPRING RETURNED TO CENTRE</t>
  </si>
  <si>
    <t>SINGLE AXIS MASTER CONTROLLER</t>
  </si>
  <si>
    <t>SPOHN &amp; BURKHARDT SINGLE AXIS MASTER CONTROLLER 4-0-4 NOTCH</t>
  </si>
  <si>
    <t>TWO AXIS MASTER CONTROLLER</t>
  </si>
  <si>
    <t>SPOHN &amp; BURKHARDT TWO AXIS MASTER CONTROLLER 4-0-4 NOTCH</t>
  </si>
  <si>
    <t>ROTARY SWITCH, 3POLE, 2 WAY, 25 AMPS, 440V AC</t>
  </si>
  <si>
    <t>ROTARY SWITCH ON/OFF CONTROL 3POLE, 2 WAY, 25 AMPS 440V AC</t>
  </si>
  <si>
    <t>MUSH ROOM HEAD OIL TIGHT PUSH BUTTON 22MM DIA RED IN COLOUR, PULL TO RESET TYPE. (LATCH-IN-TWIST TO RESET)</t>
  </si>
  <si>
    <t>MUSHROOM PUSH BUTTON ACTUATOR, 30.5MM, RED COLOUR TURN TO RELEASE</t>
  </si>
  <si>
    <t>MUSHROOM HEAD OIL TIGHT PUSH BUTTON TURN TO RELEASE E 30.5MM RED COLOUR WITH INO + INC AUX. CONTACT BLOCK</t>
  </si>
  <si>
    <t>MUSHROOM PUSH BUTTON ACTUATOR, RED COLOUR SPRING RETURN</t>
  </si>
  <si>
    <t>OIL TIGHT FLUSH PUSH BUTTON ACTUATOR OF SIZE 22.5 MM, YELLOW AND RED</t>
  </si>
  <si>
    <t>PUSH BUTTON STANDARD 22.5MM DIA OIL TIGHT PUSH BUTTON,STANDARD,FLUSH BUTTON OPERATOR CONTACT BLOCKS 2NO+2NC RATED FOR 6A AT 110V, 25NOS YELLOW AND 25NOS RED</t>
  </si>
  <si>
    <t>OIL TIGHT FLUSH PUSH BUTTON ACTUATOR OF SIZE 30.5 MM, SIX COLOURS</t>
  </si>
  <si>
    <t>OIL TIGHT PUSH BUTTONS, STANDARD (FLUSH) BUTTON OPERATOR, COMPLETE WITH 2 NO AND 2 NC, CONTACT ELEMENTS, 6A AT 120 V, 50 HZ.AC 11 DUTY COMPLETE SIMILAR TO BCH CATALOGUE NO. E 20 T, AND TYPE NO.TSF B3 IN SIX COLOURS</t>
  </si>
  <si>
    <t>OIL TIGHT ILLUMINATED EXTENDED TYPE PUSH BUTTON ACTUATOR OF SIZE 30.5 MM, VOLTAGE 110 V, RED COLOUR</t>
  </si>
  <si>
    <t>ILLUMINATED PUSH BUTTON[30.5MM]EXTENDED TYPE WITH POLYESTRENE RED COLOUR LENS,110/6 VOLTS TRANSFORMER,6 VOLTS SCREW TYPE MINIATURE LAMP</t>
  </si>
  <si>
    <t>OIL TIGHT ILLUMINATED PUSH BUTTON ACTUATOR OF SIZE 22.5 MM, VOLTAGE 110 V, RED COLOUR</t>
  </si>
  <si>
    <t>PUSH BUTTON ILLUMINATED RED COLOUR,SIZE 22.5 mm WITH ACTUATOR,6V BULB,TRANSFORMER 110/6V WITH 1NO+1NC CONTACT BLOCK</t>
  </si>
  <si>
    <t>OIL TIGHT ILLUMINATED PUSH BUTTON ACTUATOR OF SIZE 30.5 MM, VOLTAGE 110 V</t>
  </si>
  <si>
    <t>OIL TIGHT ILLUMINATED PUSH BUTTON ACTUATOR OF 30.5 MM DIA CONSISTING OF CONTACT BLOCK OF 1NO + 1NC RATED FOR 6AMPS AT 110V AC, TRANSFORMER 110/6V, INDICATING LAMP 6V</t>
  </si>
  <si>
    <t>OIL TIGHT PUSH BUTTON ACTUATOR SPRING RETURN OF 30.5MM DIA , COLOURS:RED,BLACK,YELLOW AND GREEN</t>
  </si>
  <si>
    <t>OIL TIGHT PUSH BUTTON ACTUATOR SPRING RETURN OF 30.5MM DIA WITH CONTACT BLOCK OF 2NO + 2NC RATED FOR 6AMPS AT 110V AC. COLOURS:RED,BLACK,YELLOW AND GREEN</t>
  </si>
  <si>
    <t>SELECTOR SWITCH 2POSTION MAINTAINED TYPE 22.5MM</t>
  </si>
  <si>
    <t>SELECTOR SWITCH 2POSTION MAINTAINED TYPE WITH 2NO+2NC CONTACTS RATED FOR 6A AT 120V 50HZ</t>
  </si>
  <si>
    <t>OIL TIGHT SELACTOR SWITCH 3 POSITION MAINTAINED TYPE OF SIZE 30.5 MM</t>
  </si>
  <si>
    <t>OIL TIGHT SELACTOR SWITCH 3 POSITION MAINTAINED TYPE OF SIZE 30.5 MM CONTACT 2NO + 2NC RATED FOR 6 AMPS</t>
  </si>
  <si>
    <t>SELECTOR SWITCHES,SPRING RETURN TO CENTER THREE POSITION: 30.5 MM</t>
  </si>
  <si>
    <t>SELECTOR SWITCHES,SPRING RETURN TO CENTER THREE POSITION: 30.5 MM WITH 2NO + 2NC CONTACTS RATED FOR MINIMUM 6A AT 120V,50HZ, AC</t>
  </si>
  <si>
    <t>OIL TIGHT INDICATING LIGHTS, 30.5MM, 110V, IN FIVE COLOURES(RED,BLUE,AMBER,GREEN,CLEAR)</t>
  </si>
  <si>
    <t>OIL TIGHT INDICATING LIGHTS TRANSFORMER TYPE, WITH POLY CARBONATE LENS OF 110V/6 VOLTS WITH 6 V BULB, TYPE TILT E 30.5MM IN FIVE COLOURES(RED,BLUE,AMBER,GREEN,CLEAR)</t>
  </si>
  <si>
    <t>OIL TIGHT INDICATING LAMP 30.5MM ,220V OF COLOURS RED, GREEN</t>
  </si>
  <si>
    <t>OIL TIGHT INDICATING LAMP 30.5MM SIZE TRANSFORMER TYPE. TRANSFORMER RATING 220/6V WITH BULB OF 6V RATING WITH POLYCARBONATE LENS OF COLOURS RED, GREEN</t>
  </si>
  <si>
    <t>PIGMY LAMPS 15W 230V AC</t>
  </si>
  <si>
    <t>PIGMY LAMPS 15W 230V AC CLEAR FOR INDICATION CONFIRMING TO IS:438 BYONET CAP BI-PIN</t>
  </si>
  <si>
    <t>ULTRA VIOLET LED LIGHT FITTING COMPLETE SET</t>
  </si>
  <si>
    <t>ULTRA VIOLET LED LIGHT FITTING COMPLETE SET FOR NDT PURPOSE</t>
  </si>
  <si>
    <t>10 WATT LED TUBE LIGHT</t>
  </si>
  <si>
    <t>SUPPLY OF 10 WATT,LED TUBE LIGHT(BATTEN TYPE)</t>
  </si>
  <si>
    <t>15 WATT LED FLOOD LIGHT</t>
  </si>
  <si>
    <t>20 WATT LED TUBE LIGHT</t>
  </si>
  <si>
    <t>SUPPLY OF 20 WATT,LED TUBE LIGHT(BATTEN TYPE)FITTING</t>
  </si>
  <si>
    <t>200 WATT HIGH BAY LIGHT</t>
  </si>
  <si>
    <t>200WATTS LED HIGH BAY LIGHT FITTING AS PER ENCLOSED SPECIFICATION NO.RWF/SSE/EL/AXP-200HB,DATED 07/07/2023</t>
  </si>
  <si>
    <t>MINI SIREN TO OPERATE ON 230V AC</t>
  </si>
  <si>
    <t>MINI SIREN TO OPERATE ON 230V SINGLE PHASE AC SUPPLY. THE RANGE OF THE SIREN SHALL BE 0.5KM</t>
  </si>
  <si>
    <t>BIG SIREN TO OPERATE ON 230V AC</t>
  </si>
  <si>
    <t>SIREN SUITABLE FOR OPERATION ON,50HZ.230VOLTS SINGLE PHASE SUPPLY MAINS.THE RANGE OF THE SIREN SHALL BE 1KM</t>
  </si>
  <si>
    <t>SOLENOID COIL WITH INDICATION PLUG AND ASSOCIATED CABLE FOR M/S MANNESMANN REXROTH, 24V</t>
  </si>
  <si>
    <t>SOLENOID COIL 24 WITH L&amp;D INDICATION PLUG AND ASSOCIATED CABLE FOR M/S MANNESMANN REXROTH SIZE 6 DC VOLVE TO PART NO. DC 38-4A 24V ZA L</t>
  </si>
  <si>
    <t>SOLENOID COIL WITH INDICATION PLUG AND ASSOCIATED CABLE FOR M/S REXROTH GERMANY, 24V</t>
  </si>
  <si>
    <t>SOLENOID COIL 24V,DC WITH LED INDICATION PLUG ASSOCIATED CABLE FOR REXROTH WEST GERMANY,HYDRAULIC VALVES TYPE NO.HWE-6D51/OFAG24NZ4</t>
  </si>
  <si>
    <t>SOLENOID PLUG WITH INDICATOR SIZE 27.5MM X 27.5 MM, OPERATING VOLTAGE 115 V AC OF VICKERS MAKE</t>
  </si>
  <si>
    <t>SOLENOID PLUG WITH INDICATOR SIZE 27.5MM X 27.5 MM, CONTACT SPACING 18 MM, NUMBER OF POLES: 2 POLES + EARTH, HOUSING COLOR TRANSPARENT, OPERATING VOLTAGE 115 V AC, PART NO.625004-115V AC OF VICKERS MAKE</t>
  </si>
  <si>
    <t>SOLENOID COILS MOULDED SUITABLE FOR USE WITH NUMATICS SOLENOIDS. 115 VOLTS</t>
  </si>
  <si>
    <t>SOLENOID COILS MOULDED CLASS ;F &amp; INSULATED SUITABLE FOR USE WITH NUMATICS SOLENOIDS. 115 VOLTS 50 HZ AC AS PER DRAWING NO. WAP/EL/420/R2</t>
  </si>
  <si>
    <t>SOLENOID COIL FOR 1" INCH VALVE 110-120V AC FOR M/S EMERSON MAKE</t>
  </si>
  <si>
    <t>SOLENOID COIL FOR 1" INCH VALVE 110-120V AC 50-60HZ.COIL PART NO.237-614 MAKE:M/S EMERSON PROCESS MANAGEMENT CHENNAI PVT LTD</t>
  </si>
  <si>
    <t>SOLENOID COIL FOR WPFS PNEUMATIC VALVE SOLENOID FOR M/S EMERSON MAKE</t>
  </si>
  <si>
    <t>SOLENOID COIL FOR WPFS PNEUMATIC VALVE SOLENOID TYPE NO.PLGN 50L 4055 120/60 COIL PN 228714. MAKE: M/S EMERSON PROCESS MANAGEMENT CHENNAI PVT LTD</t>
  </si>
  <si>
    <t>BRAKE COIL, 415V, 48 NM</t>
  </si>
  <si>
    <t>BRAKE COIL TO THE FOLLOWING SPECIFICATION: 1) COIL VOLTAGE:415V AC 2) TORQUE:48 NM</t>
  </si>
  <si>
    <t>CONTROL TRANSFORMER 1 KVA, PRIMARY VOLTAGE 415V, SECONDARY VOLTAGE 115V</t>
  </si>
  <si>
    <t>CONTROL TRANSFORMER WITH COPPER DOUBLE WOUND,CRGO LAMINATED, FOOT MOUNTING TYPE, CLASS 'B' INSULATED OF CAPACITY 1KVA, PRIMARY VOLTAGE 415V WITH TAPPING AT +1.5% &amp; -2.5%, SECONDARY VOLTAGE 115V, AIR COOLED OPEN TYPE</t>
  </si>
  <si>
    <t>CONTROL TRANSFORMER 1.5KVA, PRIMARY VOLTAGE 415V, SECONDARY VOLTAGE 110V</t>
  </si>
  <si>
    <t>CONTROL TRANSFORMER WITH COPPER DOUBLE WOUND CRGO LAMINATED, FOOT MOUNTING TYPE, CLASS 'B' INSULATED, OF CAPACITY 1.5KVA, PRIMARY VOLTAGE 415V ?10%,WITH TAPPINGS AT +5%,+10%,0%,-5%,-10% SECONDARY VOLTAGE 110V</t>
  </si>
  <si>
    <t>CONTROL TRANSFORMER 2.5 KVA, PRIMARY VOLTAGE 415V, SECONDARY VOLTAGE 115V</t>
  </si>
  <si>
    <t>2.5KVA DOUBLE WOUND ISOLATION TRANSFORMER AIR COOLED TYPE PRIMARY 415VOLTS +_5%SECONDARY 115VOLTS WITH TAPPINGS +2.5% &amp; -2.5%</t>
  </si>
  <si>
    <t>SIMATIC S7-300, INTERFACE MODULE OF SIEMENS MAKE</t>
  </si>
  <si>
    <t>SIMATIC S7-300, INTERFACE MODULE IM361 IN EXPANSION RACK FOR CONNECTING TO CENTRAL RACK (IM360), 24V DC SUPPLY VOLTAGE , WITH K-BUS CAT, No. 6ES7361-3CA01-0AA0 OF SIEMENS MAKE</t>
  </si>
  <si>
    <t>SIMATIC S7-300 DIGITAL OUTPUT MODULE OF SIEMENS MAKE</t>
  </si>
  <si>
    <t>SIMATIC S7-300 DIGITAL OUTPUT SM322,OPTICALLY ISOLATED, 32 DO,24 V DC,0.5 A,40 PIN,SUM OF OUTPUT CURRENTS 4 A / GROUP 16 A/MODULE CAT.NO.6ES7322-1BL00-0AA0 OF SIEMENS MAKE FOR OP-10 OF CNC A M/C SHOP</t>
  </si>
  <si>
    <t>SIMATIC S7-300 STABILIZED POWER SUPPLY OF SIEMENS MAKE</t>
  </si>
  <si>
    <t>SIMATIC S7-300 STABILIZED POWER SUPPLY PS307 INPUT :120/230VAC OUTPUT 24V DC /2A ; CAT. NO.6ES7307-1BA01-0AA0</t>
  </si>
  <si>
    <t>SIMATIC S7-300, DIGITAL INPUT MODULE OF SIEMENS MAKE</t>
  </si>
  <si>
    <t>SIMATIC S7-300, DIGITAL INPUT SM 321, OPTICALLY ISOLATED 32DI,24V DC,40PIN CAT No. 6ES7321-1BL00-0AA0 OF SIEMENS MAKE</t>
  </si>
  <si>
    <t>SINUMERIK PCU 50,3-C, OF SIEMENS MAKE</t>
  </si>
  <si>
    <t>SINUMERIK PCU 50,3-C,CM370,1.5 GHZ,1 X 512 MB RAM,24 V DC,WINDOWS XP PROFESSIONAL FOR EMBEDDED SYSTEM ( WIN XP PRO EMBSYS) CAT. NO.6FC5210-0DF31-2AA0 OF SIEMENS MAKE FOR "A"M/C SHOP CNC</t>
  </si>
  <si>
    <t>INCREMENTAL ENCODER OF SIEMENS MAKE, 6MM SHAFT,OPERATING VOLTAGE 5V</t>
  </si>
  <si>
    <t>INCREMENTAL ENCODER CAT.NO.6FX2001-3CC50 OF SIEMENS MAKE WITH I-V-SINUS 2500P/R,SYNCHROFLANGE,6MM SHAFT,OPERATING VOLTAGE 5V,AXIAL/RADIAL UNIVERSAL CABLE OUTLET CABLE 1M WITH CONNECTOR</t>
  </si>
  <si>
    <t>REGULATED AC/DC POWER SUPPLY UNIT (SMPS PSU) , INPUT: 120/230V AC, OUTPUT : 24 V DC /20A</t>
  </si>
  <si>
    <t>REGULATED AC/DC POWER SUPPLY UNIT (SMPS PSU) 1. INPUT VOLTAGE: 120/230V AC +/-10% 2. OUTPUT VOLTAGE: 24V DC (ADJUSTABLE TO 24-28.8 V DC) 3. OUTPUT CURRENT: 20 AMPS (480 WATTS)</t>
  </si>
  <si>
    <t>SIMODRIVE 611 INFEED/ REGEN. FEEDBACK MODULE 120/156KW OF SIEMENS MAKE</t>
  </si>
  <si>
    <t>SIMODRIVE 611 INFEED/ REGEN. FEEDBACK MODULE 120/156KW, STABILIZED, EXTERNAL COOLING TYPE 6SN1146-1BB00-0FA1 WITH SURGE ARRESTER PT NO.65N1111-0AB00-0AA0 SIEMENS MAKE</t>
  </si>
  <si>
    <t>SIMODRIVE 611,POWER MODULE ,2 AXIS ,50A OF SIEMENS MAKE</t>
  </si>
  <si>
    <t>SIMODRIVE 611,POWER MODULE ,2 AXIS ,50A , INTERNAL HEAT DISSIPATION, RATED MOTOR CURRENTS:FEED 18 A MAIN SPINDEL = 24 A,, CAT. NO. 6SN1123-1AB00-0CA3 OF SIEMENS MAKE WARRANTY: ONE YEAR FROM THE DATE OF SUPPLY OR INVOICE</t>
  </si>
  <si>
    <t>LT MODULE 1x 80A OF SIEMENS MAKE</t>
  </si>
  <si>
    <t>LT MODULE 1x 80A CAT NO.6SN1123-1AA00-0DA2 OF SIEMENS MAKE Warranty: One year from the date of supply or invoice.
 Spec:</t>
  </si>
  <si>
    <t>MITSUBISHI MAKE SERVO AMPLIFIER DRIVE FOR MRS VTL</t>
  </si>
  <si>
    <t>SUPPLY OF MITSUBISHI MAKE SERVO AMPLIFIER 3-PHASE 380-415V AC MR-J2S TO MR-J4 RENEWAL SERVO AMPLIFIER 7KW PART NUMBER: MR- J4- 700B4-RJ020 MAKE: MITSUBISHI</t>
  </si>
  <si>
    <t>AC DRIVE 37KW/50HP</t>
  </si>
  <si>
    <t>AC DRIVE 37KW/50HP, SUPPLY &amp; TESTING AC DRIVE</t>
  </si>
  <si>
    <t>AC DRIVE 3.7KW/5HP</t>
  </si>
  <si>
    <t>AC DRIVE 5 HP NOTE : FULL DESCRIPTION MAY PLEASE BE REFERRED TO RWF LAN AS THE DESCRIPTION CONSIST OF MORE THAN 2000 CHARACTERS, UNABLE TO UPLOADED ON IMMS</t>
  </si>
  <si>
    <t>AC DRIVE 15KW/20HP</t>
  </si>
  <si>
    <t>AC DRIVE IS REQUIRED TO DRIVE SQUIRREL CAGE INDUCTION MOTOR: 15 KW / 20 HP, 3 PHASE, 415 V AC, 50 Hz, 4 POLE / 6 POLE, S1/S4 DUTY</t>
  </si>
  <si>
    <t>AC DRIVE 90KW/120HP</t>
  </si>
  <si>
    <t>SUPPLY OF AC DRIVE 90 KW/ 120 HP NOTE : FULL DESCRIPTION MAY PLEASE BE REFERRED TO RWF LAN AS THE ....</t>
  </si>
  <si>
    <t>AC DRIVE 22KW/30HP</t>
  </si>
  <si>
    <t>AC DRIVE 22Kw/30 HP, SUPPLY &amp; TESTING OF AC DRIVE</t>
  </si>
  <si>
    <t>AC DRIVE 7.5KW/10HP</t>
  </si>
  <si>
    <t>SUPPLY OF AC DRIVE 7.5 KW/ 10 HP, 3 PHASE, 415 V AC, 50 Hz, 4 POLE / 6 POLE, S1/S4 DUTY</t>
  </si>
  <si>
    <t>SPEED REGULATOR DC DRIVE CARD 3HP</t>
  </si>
  <si>
    <t>SPEED REGULATOR 3HP OPEN TYPE). SUPPLY VOLTAGE: 230V AC/50HZ OUTPUT(ARMATURE VOLTAGE) 0-180V DC, ARMATURE CURRENT: 10A MAX. FIELD VOLTAGE: 220V DC @ 1AMPS MAX</t>
  </si>
  <si>
    <t>CONTROL NET TERMINATORS PART NO.1786-XT OF ALLEN BRADLEY MAKE</t>
  </si>
  <si>
    <t>CONTROLNET ADAPTOR MODULE PART NO.1771-ACN15 OF ALLEN BRADLEY MAKE</t>
  </si>
  <si>
    <t>FLEXLOGIX ETHERNET COMMUNICATION CARD, PART NO.1788-ENBT OF ALLEN BRADLEY MAKE</t>
  </si>
  <si>
    <t>FLEXLOGIX CONTROL NET COMMUNICATION CARD, PART NO.1788-CNC OF ALLEN BRADLEY MAKE</t>
  </si>
  <si>
    <t>FLEXLOGIX POWER SUPPLY MODULE PART NO.1794-PS3 OF ALLEN BRADLEY MAKE</t>
  </si>
  <si>
    <t>ALLEN BRADLEY MAKE OUTPUT MODULE 120VAC, 50HZ AS PER CAT. NO.1771-OAD</t>
  </si>
  <si>
    <t>Allen Bradley make Input module 120VAC, 50Hz, as per cat.no. 1771-IAD</t>
  </si>
  <si>
    <t>ALLEN BRADLEY MAKE INPUT WIRING ARM AS PER CAT.NO.1771-WH</t>
  </si>
  <si>
    <t>INPUT/OUTPUT RACK 16 channel Allen Bradly make cat No.1771-A4B</t>
  </si>
  <si>
    <t>POWER SUPPLY 16A 110/220V AC PT NO.1771-P7 OF ALLEN BRADLEY MAKE</t>
  </si>
  <si>
    <t>SLC 500 DIGTAL OUTPUT MODULE, 16 CHANNEL RELAY OUTPUT, PART No.1746-OW 16 OF AB MAKE</t>
  </si>
  <si>
    <t>SLC 500/05/04 PLC 7 SLOT INPUT/OUTPUT RACK CHASSIS Cat.NO.1746-A7 OF ALLEN BRADLEY MAKE</t>
  </si>
  <si>
    <t>SLC 500/5/04 POWER SUPPLY FOR PLC INPUT OUTPUT RACK 110 V AC MODEL NO. 1746-P2 OF ALLEN BRADLEY MAKE</t>
  </si>
  <si>
    <t>0.35HP, 2P, UNBALANCED SQ CAGE INDUCTION MOTOR</t>
  </si>
  <si>
    <t>FOOT MOUNTED UNBALANCED VIBRATOR MOTOR, OUTPUT 0.23KW 415V, 3PH, 50HZ, 2POLE, CLASS 'F' INSULATION,CONTINUOUS DUTY. CENTRIFUGAL FORCE 2850N +/-5%</t>
  </si>
  <si>
    <t>1HP, 4P, 90L, 13RPM RIGHT ANGLED FOOT MOUNTED IEC GEARED MOTOR</t>
  </si>
  <si>
    <t>FOOT MOUNTED 1HP RT.ANGLED HELICAL GEARED MOTOR. GEAR BOX OUTPUT RPM 13 +/- 2%. TORQUE VALUE SHOULD NOT BE LESS THAN 35KGM</t>
  </si>
  <si>
    <t>1.5HP, 4P, 90L, 17RPM RIGHT ANGLED FOOT MOUNTED IEC GEARED MOTOR WITH BRAKE</t>
  </si>
  <si>
    <t>GEARED MOTOR CONFORMING TO FOLLOWING SPECIFICATION; HELICAL GEARED MOTOR FOOT MOUNTED PARALLEL DRIVE MOTOR 1.5HP, 4POLE, CLASS F INSULATED, FRAME 90 WITH ELECTROMAGNETIC BRAKE. THE GEARED MOTOR OUTPUT RPM - 17RPM +/-1. THE OUTPUT TORQUE SHOULD NOT BE LESS THAN 50KGM.THE DIMENSIONAL DETAILS SHALL BE AS PER DRG.NO.RWF/EL/WSC/2010-013</t>
  </si>
  <si>
    <t>1.5HP, 6P, 90L, FOOT MOUNTED SQ CAGE INDUCTION MOTOR</t>
  </si>
  <si>
    <t>TEFC SQ CAGE INDUCTION FOOT MOUNTED MOTOR 1.5HP, 6POLE, 415V, 3PH, 50 HZ AC, CLASS "F" INSULATED,CONTINUOUSLY RATED, FRAME SIZE 90L</t>
  </si>
  <si>
    <t>1.5HP, 4P, 90L, 22RPM RIGHT ANGLED FOOT MOUNTED IEC GEARED MOTOR</t>
  </si>
  <si>
    <t>RIGHT ANGLED FOOT MOUNTED GEARED MOTOR. MOTOR:USED SHALL BE FLANGE MOUNTED SQUIRREL CAGE INDUCTION,HP 1.5; INS CLASS F; CONFIRMING TO IS:325. SIMILAR TO MODEL NO.HFS40-D90S4 OF POWER BUILD MAKE. GEAR BOX: MOUNTING UNIVERSAL; GEAR HELIWORM; OUTPUT RPM: 22+/-5%;TORQUE NOT LESS THAN:33KGM</t>
  </si>
  <si>
    <t>1.5HP, 6P, 90L, FLANGE MOUNTED SQ CAGE INDUCTION MOTOR WITH BRAKE</t>
  </si>
  <si>
    <t>TEFC SQ CAGE INDUCTION MOTOR 1.5HP,6 POLE, CLASS 'F' INSULATION, 415V, 3PH, FLANGE MOUNTED, FRAME SIZE 90 WITH DC OPERATED ELECTROMAGNETIC BRAKE</t>
  </si>
  <si>
    <t>2HP, 4P, 90L, FACE MOUNTED SQ CAGE INDUCTION MOTOR</t>
  </si>
  <si>
    <t>2HP, 4P, 90L SQ CAGE INDUCTION MOTOR, MOUNTING :FACE MOUNTED</t>
  </si>
  <si>
    <t>2HP, 4P, 90L, FOOT MOUNTED SQ CAGE INDUCTION MOTOR</t>
  </si>
  <si>
    <t>2HP, 4P, 90L SQ CAGE INDUCTION MOTOR, MOUNTING :FOOT MOUNTED</t>
  </si>
  <si>
    <t>2HP, 4P, 90L, FLANGE MOUNTED SQ CAGE INDUCTION MOTOR</t>
  </si>
  <si>
    <t>2HP,4P,90L SQ CAGE INDUCTION MOTOR, MOUNTING :FLANGE MOUNTED</t>
  </si>
  <si>
    <t>2HP, 4P, 90L, FLANGE MOUNTED SQ CAGE INDUCTION MOTOR WITH BRAKE</t>
  </si>
  <si>
    <t>2HP TEFC BRAKE INDUCTION MOTOR, FRAME SIZE 90, 4POLE, 415V,3PH,50HZ, CLASS OF INSULATION 'F',CONTINUOUSLY RATED FLANGE MOUNTED WITH ELECTORMAGNETIC DC BRAKE</t>
  </si>
  <si>
    <t>2HP, 6P, 100L, FLANGE MOUNTED SQ CAGE INDUCTION MOTOR</t>
  </si>
  <si>
    <t>2HP, 6 POLE, 100L SQ CAGE INDUCTION MOTOR, MOUNTING :FLANGE MOUNTED</t>
  </si>
  <si>
    <t>2HP, 4P, 160L, FLANGE MOUNTED SQ CAGE INDUCTION MOTOR</t>
  </si>
  <si>
    <t>TEFC SQ CAGE INDUCTION MOTOR FLANGE MOUNTED, 2HP, 415V, 3PH,50 HZ AC, 4POLE</t>
  </si>
  <si>
    <t>2HP, 4P, 90L, 29RPM RIGHT ANGLED FOOT MOUNTED IEC GEARED MOTOR</t>
  </si>
  <si>
    <t>RIGHT ANGLED FOOT MOUNTED IEC GEARED MOTOR-29 RPM MOTOR, NO. OF POLES- 4, MINIMUM RATED OUTPUT- 1.5KW/2HP</t>
  </si>
  <si>
    <t>3HP, 4P, 100L, FOOT MOUNTED SQ CAGE INDUCTION MOTOR</t>
  </si>
  <si>
    <t>3HP, 4P, 100L, FACE MOUNTED SQ CAGE INDUCTION MOTOR</t>
  </si>
  <si>
    <t>3HP, 4P, 100L, FLANGE MOUNTED SQ CAGE INDUCTION MOTOR</t>
  </si>
  <si>
    <t>3HP, 6P, 112M, FLANGE MOUNTED SQ CAGE INDUCTION MOTOR</t>
  </si>
  <si>
    <t>3HP, 4P, 100L, 30RPM RIGHT ANGLED FOOT MOUNTED IEC GEARED MOTOR</t>
  </si>
  <si>
    <t>RIGHT ANGLE HELIWORM GEARED MOTOR 3HP, 415V,3PH,CLASS 'F' INSULATION, OUTPUT RPM-30 +/- 1RPM,OUTPUT TORQUE-55.15KGM +/- 5, UNIVERSAL MOUNTING. OUTPUT SHAFT DIA:50MM +/- 0.1MM, PROVISION FOR CHANGING THE OUTPUT SHAFT TOWARDS RIGHT ANGLE OR LEFT ANGLE</t>
  </si>
  <si>
    <t>3HP, 4P, 100L, 48RPM RIGHT ANGLED FOOT MOUNTED IEC GEARED MOTOR</t>
  </si>
  <si>
    <t>RIGHT ANGLED FOOT MOUNTED IEC GEARED MOTOR-48RPM MOTOR, 3HP</t>
  </si>
  <si>
    <t>3HP, 4P, 100L, 72RPM RIGHT ANGLED FOOT MOUNTED IEC GEARED MOTOR</t>
  </si>
  <si>
    <t>RIGHT ANGLED FOOT MOUNTED IEC GEARED MOTOR-72RPM MOTOR</t>
  </si>
  <si>
    <t>5HP, 4P, 112M, FOOT MOUNTED SQ CAGE INDUCTION MOTOR</t>
  </si>
  <si>
    <t>5HP, 4 P, 112M, FOOT MOUNTED SQ CAGE INDUCTION MOTOR WITH BRAKE</t>
  </si>
  <si>
    <t>TEFC SQ CAGE INDUCTION MOTOR 5HP, 4 POLE, CLASS 'F' INSULATION, 415V,3PH, FOOT MOUNTED, FRAME SIZE 112M WITH DC OPERATED ELECTROMAGNETIC BRAKE OF MINIMUM BRAKING CAPACITY OF 5KGM</t>
  </si>
  <si>
    <t>5HP, 2P, 100L, FOOT MOUNTED SQ CAGE INDUCTION MOTOR</t>
  </si>
  <si>
    <t>5HP, 6P, 132S, FOOT MOUNTED SQ CAGE INDUCTION MOTOR</t>
  </si>
  <si>
    <t>5HP, 6P, 132S, FOOT MOUNTED, CRANE DUTY SQ CAGE INDUCTION MOTOR</t>
  </si>
  <si>
    <t>TEFC 5 HP/3.7KW,S1 CRANE DUTY SQUIRREL CAGE INDUCTION MOTOR,415V, 3PH, 50HZ AC,6POLE,FRAME 132S, CLASS 'F' INSULATED FOOT MOUNTED</t>
  </si>
  <si>
    <t>7.5HP,2P, 132S, FOOT MOUNTED SQ CAGE INDUCTION MOTOR</t>
  </si>
  <si>
    <t>7.5HP, 4P, 132S, FOOT CUM FLANGE MOUNTED SQ CAGE INDUCTION MOTOR</t>
  </si>
  <si>
    <t>7.5HP, 4P, 132S, FOOT MOUNTED SQ CAGE INDUCTION MOTOR</t>
  </si>
  <si>
    <t>7.5HP,6P,132M,FOOT MOUNTED SQ CAGE INDUCTION MOTOR</t>
  </si>
  <si>
    <t>10HP, 4P, 132M, FOOT MOUNTED SQ CAGE INDUCTION MOTOR</t>
  </si>
  <si>
    <t>10HP, 4P, 132M, FOOT MOUNTED SQ CAGE INDUCTION MOTOR WITH BRAKE</t>
  </si>
  <si>
    <t>10HP, 4P, 132M FOOT CUM FLANGE MOUNTED SQ CAGE INDUCTION MOTOR</t>
  </si>
  <si>
    <t>10HP, 6P, 160 M, FOOT MOUNTED SQ CAGE INDUCTION MOTOR</t>
  </si>
  <si>
    <t>10HP/15HP, 8P/4P, 160L FOOT MOUNTED SQ CAGE INDUCTION MOTOR</t>
  </si>
  <si>
    <t>TEFC SQ CAGE INDUCTION DUAL SPEED ELECTRIC MOTOR 7.5/ 10.5KW, 750/1500 RPM, FOOT MOUNTING, INSULATION CLASS ?F?, DUTY S1, FRAME 160L, 415V, 3PHASE, 50HZ</t>
  </si>
  <si>
    <t>15HP, 2P, 160M, FOOT MOUNTED SQ CAGE INDUCTION MOTOR</t>
  </si>
  <si>
    <t>15HP, 2P, 160 M, FOOT MOUNTED SQ CAGE INDUCTION MOTOR</t>
  </si>
  <si>
    <t>15HP, 4P, 160 M, FOOT MOUNTED SQ CAGE INDUCTION MOTOR</t>
  </si>
  <si>
    <t>15HP, 6P, 160L, FOOT MOUNTED SQ CAGE INDUCTION MOTOR</t>
  </si>
  <si>
    <t>20HP, 2P, 160M, FOOT MOUNTED SQ CAGE INDUCTION MOTOR</t>
  </si>
  <si>
    <t>20HP, 2P, 160 M, FOOT MOUNTED SQ CAGE INDUCTION MOTOR</t>
  </si>
  <si>
    <t>20HP, 4P, 160L, FOOT CUM FLANGE MOUNTED SQ CAGE INDUCTION MOTOR</t>
  </si>
  <si>
    <t>20HP, 4P, 160L, FOOT MOUNTED SQ CAGE INDUCTION MOTOR, FOOT CUM FLANGE MOUNTED</t>
  </si>
  <si>
    <t>25HP, 2P, 160L, FOOT MOUNTED SQ CAGE INDUCTION MOTOR</t>
  </si>
  <si>
    <t>25HP, 2P, 160 L, FOOT MOUNTED SQ CAGE INDUCTION MOTOR</t>
  </si>
  <si>
    <t>25HP, 4P, 180M, FOOT MOUNTED SQ CAGE INDUCTION MOTOR</t>
  </si>
  <si>
    <t>TEFC SQ CAGE INDUCTION INDUCTION FOOT MOUNTED MOTOR 25HP,415V, 3Ph, 50Hz AC,4pole,FRAME SIZE 180M</t>
  </si>
  <si>
    <t>25HP, 6P, 200L, FOOT MOUNTED SQ CAGE INDUCTION MOTOR</t>
  </si>
  <si>
    <t>TOTALY ENCLOSED FAN COOLED SQ.CAGE INDUCTION MOTOR 25 HP OF FRAME SIZE 200L, 6POLE,CLASS F INSULATED,415VOLTS 3PHASE, FOOT MOUNTED, MINIMUM ENERGY EFFICIENT IE-2</t>
  </si>
  <si>
    <t>30HP, 4P, 180L, FOOT MOUNTED SQ CAGE INDUCTION MOTOR</t>
  </si>
  <si>
    <t>TEFC SQ CAGE INDUCTION HORIZONTAL FOOT MOUNTED MOTOR 30HP, 4POLE, 415V,3PH,50HZ AC, CLASS 'F' INSULATED CONTINUOUSLY RATED FRAME SIZE 180L</t>
  </si>
  <si>
    <t>30HP, 8P, 225M, FOOT MOUNTED SQ CAGE INDUCTION MOTOR</t>
  </si>
  <si>
    <t>TEFC FOOT MOUNTED SQ CAGE INDUCTION MOTOR 30HP,415V 3PH 750RPM, CLASS 'B' INSULATED, FRAME SIZE 225M. SUITABLE FOR FAN APPLICATION</t>
  </si>
  <si>
    <t>40HP, 4P, 200L, FOOT MOUNTED SQ CAGE INDUCTION MOTOR</t>
  </si>
  <si>
    <t>TEFC SQ CAGE INDUCTION MOTOR FOOT MOUNTED, 40HP, 415V, 3PH, 50HZ AC, 4POLE, FRAME SIZE 200L, MINIMUM EFFICIENCY CLASS IE3</t>
  </si>
  <si>
    <t>50HP, 4P, 225S FOOT MOUNTED SQ CAGE INDUCTION MOTOR</t>
  </si>
  <si>
    <t>TEFC SQ.CAGE INDUCTION MOTOR FOOT MOUNTED, 50HP,4POLE, 415V AC 3PH 50HZ CLASS "F" INSULATED, S1 DUTY FRAME SIZE 225S WITH TERMINAL BLOCK ON TOP SIDE</t>
  </si>
  <si>
    <t>60HP, 4P, 225M, FLANGE MOUNTED SQ CAGE INDUCTION MOTOR</t>
  </si>
  <si>
    <t>SQ.CAGE INDUCTION MOTOR 60HP,4POLE 415V AC 3PH 50HZ CLASS 'F'INSULATED FRAME SIZE 225M FOOT MOUNTED TEFC</t>
  </si>
  <si>
    <t>SERVO MOTOR, INPUT SIGNAL 4-20MA, SUPPLY VOLTAGE 110/120V AC</t>
  </si>
  <si>
    <t>SERVO MOTOR LOW TORQUE, INPUT SIGNAL 4-20MA, SUPPLY VOLTAGE 110/120V AC, 50/60HZ, TORQUE 220LBS/INCH, ADJUSTABLE SPAN DEAD BAND 1.2 T 04.8% ADJUSTABLE TRAVEL 90 DEGREE</t>
  </si>
  <si>
    <t>19KW, 6P, 225M, FOOT MOUNTED SLIP RING INDUCTION MOTOR</t>
  </si>
  <si>
    <t>SLIP RING INDUCTION MOTOR 19KW, FOOT MOUNTED, 6 POLE, FRAME 225M (SPELLING MISTAKE)</t>
  </si>
  <si>
    <t>25KW, 6P, 225MA, FOOT MOUNTED SLIP RING INDUCTION MOTOR</t>
  </si>
  <si>
    <t>SLIPRING INDUCTION MOTOR 25KW, FOOT MOUNTED,6POLE, FRAME 225MA</t>
  </si>
  <si>
    <t>49KW TO 53KW, 10P, 315M, FOOT MOUNTED SLIP RING INDUCTION MOTOR</t>
  </si>
  <si>
    <t>TEFC SLIPRING CRANE DUTY MOTOR, 49KW TO 53KW, 10POLE, 585 RPM, FRAME 315M</t>
  </si>
  <si>
    <t>94KW, 10P, 315M, FOOT MOUNTED SLIP RING INDUCTION MOTOR</t>
  </si>
  <si>
    <t>SLIPRING INDUCTION MOTOR, CRANE DUTY, FOOT MOUNTED CLASS F INSULATION, 94KW/ 593RPM, 3PH, 415V, 50HZ ROTOR VOLT375, ROTOR AMP145, FULL LOAD CURRENT 190A. S3 DUTY</t>
  </si>
  <si>
    <t>SET OF SLIP RING BRUSH HOLDER FOR 22KW SLIPRING INDUCTION MOTOR</t>
  </si>
  <si>
    <t>SET OF SLIPRING BRUSH HOLDERS TO EXACTLY SUIT THE NGEF SLIPRING INDUCTION MOTOR TYPE AMKW 250 M6R 22 KW CAPACITY 980 RPM</t>
  </si>
  <si>
    <t>SET OF SLIP RING BRUSH HOLDER FOR 94KW SLIPRING INDUCTION MOTOR</t>
  </si>
  <si>
    <t>SET OF SLIP RING BRUSH HOLDER TO EXACTLY SUIT THE N G E F SLIPRING INDUCTION MOTOR TYPE AMKW 355 LIOR 94.75 KW CAP. 980 RPM</t>
  </si>
  <si>
    <t>EXHAUST FAN HEAVY DUTY 380MM SWEEP</t>
  </si>
  <si>
    <t>EXHAUST FAN HEAVY DUTY 380MM SWEEP, WITH SINGLE PHASE 230V, 50HZ,4POLE, 150WATTS, SQ CAGE INDUCTION MOTOR</t>
  </si>
  <si>
    <t>EXHAUST FAN HEAVY DUTY 450MM SWEEP, 410W, 50HZ AC SINGLE PHASE</t>
  </si>
  <si>
    <t>EXHAUST FAN HEAVY DUTY 610MM SWEEP</t>
  </si>
  <si>
    <t>EXHAUST FAN HEAVY DUTY 610MM +/-10 MM SWEEP WITH 3PH 415V, 50HZ 900RPM +/- 100 RPM, 500W +/- 50 W SQ CAGE INDUCTION MOTOR</t>
  </si>
  <si>
    <t>TUBE AXIAL FLOW FAN</t>
  </si>
  <si>
    <t>TUBE AXIAL FLOW FAN AS PER DRG NO.RWF/EL/WSC/A3/2011-003</t>
  </si>
  <si>
    <t>DC TACHOGENERATOR FOR CRANE LT</t>
  </si>
  <si>
    <t>DC PERMANENT MAGNET TACHOGENERATOR</t>
  </si>
  <si>
    <t>BEARING FLANGE PART NO.3605805009 FOR HF GRINDER</t>
  </si>
  <si>
    <t>BEARING FLANGE PART NO.3605805009 FOR HF GRINDER OF BOSCH GERMANY MAKE MODEL NO HF0602240136</t>
  </si>
  <si>
    <t>BEARING FLANGE PART NO.3607031292 FOR HF GRINDER</t>
  </si>
  <si>
    <t>BEARING FLANGE PART NO.3607031292 FOR HF GRINDER OF BOSCH GERMANY MAKE MODEL NO. 0602240136</t>
  </si>
  <si>
    <t>GRINDING SPINDLE FOR HF GRINDER</t>
  </si>
  <si>
    <t>GRINDING SPINDLE PART NO. 3606120009 FOR HF GRINDER OF BOSCH GERMANY MAKE MODEL NO.HF 0602240136</t>
  </si>
  <si>
    <t>MATCHING SET OF TOOTHED GEAR FOR HF GRINDER</t>
  </si>
  <si>
    <t>MATCHING SET OF TOOTHED GEAR FOR HF GRINDER OF BOSCH GERMANY MAKE MODEL NO. HF 0602240136</t>
  </si>
  <si>
    <t>ROTOR FOR HF GRINDER</t>
  </si>
  <si>
    <t>ROTOR PART NO.3604080025 FOR HF GRINDER OF BOSCH GERMANY MADE MODEL NO.HF 0602240136</t>
  </si>
  <si>
    <t>SENSOR ASSEMBLY FOR BHN SYSTEM</t>
  </si>
  <si>
    <t>SENSOR ASSEMBLY FOR BHN SYSTEM AS PER DRAWINGS- 703710110010, 703710110040, 703710110050, 703710110070, 703710110080, 703710110090, 703710110020, 703710110030, 703710110060. THE SENSOR ASSEMBLY SHAL BE SUPPLIED IN ASSEMBLED CNDITION</t>
  </si>
  <si>
    <t>MAGNETIC BOOM WITH COIL</t>
  </si>
  <si>
    <t>MAGNETIC BOOM WITH COIL AS PER DRG.NO. RWF/EL/WSC/MB/A3-2008001 &amp; RWF/EL/WSC/ MB/A3-2008002</t>
  </si>
  <si>
    <t>TRIPPING/CLOSING COIL FOR SIEMENS MAKE VCB TYPE: 3AHO</t>
  </si>
  <si>
    <t>CLOSING AND TRIPPING MECHANISM FOR SIEMENS MAKE VCB TYPE:3AHO</t>
  </si>
  <si>
    <t>VACUUM INTERRUPTER FOR SIEMENS MAKE VCB TYPE:3AHO</t>
  </si>
  <si>
    <t>VACUUM INTERRUPTER TYPE VS12025GB SUITABLE FOR SIEMENS MAKE 12KV, 26.3KA, 1250AMPS 3AH0 TYPE VCB</t>
  </si>
  <si>
    <t>12KV, 26.3K/3SEC, 1250A, VCB OF SIEMENS MAKE TYPE: 3AHO</t>
  </si>
  <si>
    <t>12KV, 26.3K/3SEC, 1250A, 3AH0 TYPE VCB ALUMINUM CONTACT ARMS WITH TROLLEY (SUITABLE FOR 88K88 PLUS -600MM WIDTH PANEL) MAKE:SIEMENS</t>
  </si>
  <si>
    <t>SINGLE PHASE POWER CONTROLLER, 200A</t>
  </si>
  <si>
    <t>SINGLE PHASE POWER CONTROLLER, 200A, 480V AC</t>
  </si>
  <si>
    <t>POWER MODULE, 250A</t>
  </si>
  <si>
    <t>POWER MODULE SCR/SCR ISOLATED BASE, PHASE CONTROL TYPE, 250A</t>
  </si>
  <si>
    <t>THREE PHASE POWER CONTROLLER, 400A</t>
  </si>
  <si>
    <t>THREE PHASE POWER CONTROLLER FOR 250A OUTPUT INDUCTIVE LOAD, STAR CONNECTED WITHOUT NEUTRAL</t>
  </si>
  <si>
    <t>SILICON DIODE REVERSE,1600V</t>
  </si>
  <si>
    <t>SILICON DIODE REVERSE, SINGLE SIDE COOLED THREAD UNF TYPE, 1/2" DIA, 20TPI, PRR 1600V TEMPERATURE 175 Deg. C</t>
  </si>
  <si>
    <t>POWER DIODE WITH REVERSE POLARITY TO WORK ON 1000V, CURRENT 350A</t>
  </si>
  <si>
    <t>POWER DIODE TO WORK ON 1000V. ORDINARY SCREENED TYPE WITH REVERSE POLARITY, MATCHED FORWARD VOLTAGE DROP FOR PARALLEL APPLICATION, CURRENT 350A</t>
  </si>
  <si>
    <t>POWER DIODE WITH NORMAL POLARITY TO WORK ON 1000V, CURRENT 350A</t>
  </si>
  <si>
    <t>POWER DIODE TO WORK ON 1000V. ORDINARY SCREENED TYPE WITH NORMAL POLARITY, MATCHED FORWARD VOLTAGE DROP FOR PARALLEL APPLICATION, CURRENT 350A</t>
  </si>
  <si>
    <t>STAINLESS STEEL, WATER FLOW BUCKETS</t>
  </si>
  <si>
    <t>STAINLESS STEEL,WATER FLOW BUCKETS AS PER DRAWING NO. WAP/EL/ SK/749</t>
  </si>
  <si>
    <t>WATER FLOW SWITCH WITH COMPLETE SET WITH COUNTER WEIGHT ARRANGEMENT</t>
  </si>
  <si>
    <t>WATER FLOW SWITCH WITH COMPLETE SET HAVING OF 1NO+1NC CONTACT CURRENT RATING OF 5AMPS AT 230VOLTS COUNTER WEIGHT ARRANGEMENT, ALUMINIUM CAST BODY</t>
  </si>
  <si>
    <t>PENDENT CONTROL STATION 8 PUSH BUTTON</t>
  </si>
  <si>
    <t>PRESSURE SENSITIVE ADHESIVE PVC TAPES GREEN COLOUR</t>
  </si>
  <si>
    <t>PRESSURE SENSITIVE ADHESIVE PLASTICIZED PVC TAPES GREEEN COLOUR SPECIFICATIONS:GOLDEN PARAMETERS:1)LENGTH OF THE TAPE:10MTRS.2)ISI MARK:YES.3)WIDTH OF THE TAPE:19MM.4)INTERNAL DIAMETER OF THE CORES ON WHICH THE TAPE IS ROOLED:20MM</t>
  </si>
  <si>
    <t>PRESSURE SENSITIVE ADHESIVE PVC TAPES BLUE COLOUR</t>
  </si>
  <si>
    <t>PRESSURE SENSITIVE ADHESIVE PLASTICIZED PVC TAPES BLUE COLOUR SPECIFICATIONS:GOLDEN PARAMETERS:1)LENGTH OF THE TAPE:10MTRS.2)ISI MARK:YES.3)WIDTH OF THE TAPE:19MM.4)INTERNAL DIAMETER OF THE CORES ON WHICH THE TAPE IS ROOLED:20MM</t>
  </si>
  <si>
    <t>PRESSURE SENSITIVE ADHESIVE PVC TAPES MULTI COLOUR</t>
  </si>
  <si>
    <t>PRESSURE SENSITIVE ADHESIVE PLASTICIZED PVC TAPES MULTI COLOUR SPECIFICATIONS:GOLDEN PARAMETERS:1)LENGTH OF THE TAPE:10MTRS.2)ISI MARK:YES.3)WIDTH OF THE TAPE:19MM.4)INTERNAL DIAMETER OF THE CORES ON WHICH THE TAPE IS ROOLED:20MM</t>
  </si>
  <si>
    <t>GLASS EPOXY SHEET</t>
  </si>
  <si>
    <t>GLASS EPOXY SHEET AS PER DRG.NO.WAP/EL/SK/379R1</t>
  </si>
  <si>
    <t>INSULATING CHEQUERED RUBBER MAT 3.3KV</t>
  </si>
  <si>
    <t>GLASS WOOL TAPE SIZE 1"</t>
  </si>
  <si>
    <t>GLASS WOOL TAPE SIZE 1" GLASS WOOL TAPE OF SIZE 1" WIDTH ROLLS OF 50MTRS IN LENGTH THICKNESS 0.15MM</t>
  </si>
  <si>
    <t>WATER COOLED CABLE FOR EAF</t>
  </si>
  <si>
    <t>CABLE,WATER COOLED, 28FT CABLE,WATER COOLED</t>
  </si>
  <si>
    <t>WATER COOLED CABLE FOR SPRUEWASH</t>
  </si>
  <si>
    <t>WATER COOLED CABLE FOR ARC AIR GOUGING AS PER DRAWING NO.RWF/EL/682 REV 2</t>
  </si>
  <si>
    <t>BUTYL RUBBER 2.5SQMM, 12 CORE CABLE FOR EOT CRANE</t>
  </si>
  <si>
    <t>BUTYL RUBBER 2.5SQMM, 12 CORE "MULTISTRAND CABLE FLEXIBLE 2.5SQ.MM,12 CORE 1.1KV GRADE BUTYL RUBBER/EP RUBBER,INSULATED, INDIVIDUALLY INSULATED AND PCP OVERALL SHEATHED, WITH ANNEALED TINNED COPPER CONDUCTORS FOR CRANE REELING DRUMS</t>
  </si>
  <si>
    <t>BUTYL RUBBER 25SQMM, 3 CORE CABLE FOR EOT CRANE</t>
  </si>
  <si>
    <t>MULTISTRAND CABLE FLEXIBLE 25SQMM,3CORE 1.1KV GRADE BUTYL RUBBER/EP RUBBER INSULATED,INDIVIDUALLY INSULATED AND PCP OVERALL SHEATHED WITH ANNEALED TINNED COPPER CONDUCTORS FOR CRANE REELING DRUMS</t>
  </si>
  <si>
    <t>BUTYL RUBBER 50SQMM,2 CORE CABLE FOR EOT CRANE</t>
  </si>
  <si>
    <t>MULTISTRAND CABLE FLEXIBLE IN LENGTH OF 28.5 MTRS OR IN MULTIPLES THERE OF AS A CONTINUOUS LENGTH BUTYL RUBBER/EP RUBBER INSULATED AND PCP OVERALL SHEATHED,WITH ANNEALED TINNED COPPER CONDUCTORS.THE SIZE OF CONDUCTORS SHALL NOT BE MORE THAN 0.4 MM.THE CABLE SHALL BE 50 SQ MM, 2CORE, 1.1KV GRADE FOR EOT CRANE TRAILING APPLICATION</t>
  </si>
  <si>
    <t>BUTYL RUBBER 70SQMM, 2 CORE CABLE FOR EOT CRANE</t>
  </si>
  <si>
    <t>MULTISTRAND CABLE FLEXIBLE IN LENGTH OF 30 MTRS OR IN MULTIPLES THERE OF AS A CONTINOUS LENGTH BUTYL RUBBER / EP RUBBER INSULATED AND PCP OVERALL SHEATHED, WITH ANNEALED TINNED COPPER CONDUCTORS.THE SIZE OF CONDUCTORS SHALL NOT BE MORE THAN 0.4MM.THE CABLE SHALL BE 70 SQ MM, 2 CORE 1.1 KV GRADE FOR EOT CRANE TRAILING APPLICTION</t>
  </si>
  <si>
    <t>BUTYL RUBBER 95SQMM,1 CORE CABLE FOR EOT CRANE</t>
  </si>
  <si>
    <t>MULTISTRAND CABLE FLEXIBLE 95SQMM, SINGLE CORE 1.1 KV GRADE IN LENGTH OF 50MTRS OR IN MULTIPLES OF 50MTRS THERE OF AS CONTINUOUS LENGTH BUTYL RUBBER/EP RUBBER INSULATED AND PCP OVERALL SHEATHED,WITH ANNEALED TINNED COPPER CONDUCTORS FOR CRANE REELING DRUMS</t>
  </si>
  <si>
    <t>COMPENSATING CABLE, 'J' TYPE, 1.5 SQ.MM, 2 CORE</t>
  </si>
  <si>
    <t>COMPENSATING CABLE FOR TYPE J THERMOCOUPLE PVC INSULATED PVCSHEATHED CONDUCTOR SIZE 3/22 SWG</t>
  </si>
  <si>
    <t>COMPENSATING CABLE, 'N' TYPE, 1.5 SQ.MM, 2 CORE</t>
  </si>
  <si>
    <t>COMPENSATING CABLE FOR TYPE-N THERMOCOUPLE, PVC INSULATED PVC SHEATHED OF CONDUCTOR SIZE 3/22 SWG IN LENGTH OF 100 MTRS. ONLY</t>
  </si>
  <si>
    <t>COMPENSATING CABLE, 'S' TYPE, 1.5 SQ.MM, 2 CORE</t>
  </si>
  <si>
    <t>S' TYPE FLEXIBLE COMPENSATING CABLE ROUND FORMATION 2 CORE 1.5 SQ.MM SIZE EACH CORE PVC INSULATED WITH STANDARD COLOUR CODING FOR POSITIVE AND NEGATIVE</t>
  </si>
  <si>
    <t>COPPER CABLE, 1 SQ.MM TEFLON INSULATED, RED COLOUR</t>
  </si>
  <si>
    <t>1 SQ.MM SINTERED OR TAPED TEFLON INSULATED MULTI STRANDED FLEXIBLE COPPER CABLE RED COLOUR 1.1 KV GRADE IN STANDARD LENGTHS OF 100 MTRS +/-10%. THE CONDUCTOR SHALL BE SILVER PLATED</t>
  </si>
  <si>
    <t>COPPER CABLE, 1.5 SQ.MM TEFLON INSULATED</t>
  </si>
  <si>
    <t>COPPER CABLE TEFLON/FIBRE INS. COPPER CABLE SINGLE CORE OF SIZE 1.5SQMM(48/0.2MM)FLEXIBLE MULTISTRANDED WITH SINTERED TEFLON INSULATED OVERALL VARNISHED FIBRE GLASS BRAIDING IN STANDARD LENGTH OF 100 MTRS.COIL</t>
  </si>
  <si>
    <t>COPPER CABLE, 6 SQ.MM TEFLON INSULATED, RED COLOUR</t>
  </si>
  <si>
    <t>6 SQ.MM SINTERED OR TAPED TEFLON INSULATED MULTI STRANDED FLEXIBLE COPPER CABLE RED COLOUR 1.1 KV GRADE IN STANDARD LENGTHS OF 100 MTRS +/- 10%</t>
  </si>
  <si>
    <t>COPPER CABLE, 50 SQ.MM TEFLON INSULATED</t>
  </si>
  <si>
    <t>MULTISTRANDED FLEXIBLE SINGLE CORE COPPER CABLE SINTERED TEFLON INSULATED OVERALL FIBRE GLASS BRAIDED UNVARNISHED CABLE OF SIZE50SQMM 1.1KV GRADE IN STANDARD LENGTHS OF 100 MTRS +/-10%</t>
  </si>
  <si>
    <t>COPPER CABLE, 1SQ.MM, 1 CORE, RED COLOUR</t>
  </si>
  <si>
    <t>1 SQMM SINGLE CORE MULTI-STRANDED FLEXIBLE COPPER CABLE PVC INSULATED OF 1.1 KV CLASS OF 100 METRES LENGTH COILS OF RED COLOUR</t>
  </si>
  <si>
    <t>COPPER CABLE, 1SQ.MM, 1 CORE, BLUE COLOUR</t>
  </si>
  <si>
    <t>1 SQMM SINGLE CORE MULTI-STRANDED (32/0.2)FLEXIBLE COPPER CABLE PVC INSULATED OF 1.1 KV.CLASS OF 100 MTRS. LENGTH COIL COLOUR BLUE</t>
  </si>
  <si>
    <t>COPPER CABLE, 1SQ.MM, 1 CORE, BLACK COLOUR</t>
  </si>
  <si>
    <t>SINGLE CORE 1 SQMM PVC INSULATED MULTISTRANDED FLEXIBLE COPPER CABLE OF 1.1KV CLASS IN 100 METRES LENGTH COIL COLOUR BLACK</t>
  </si>
  <si>
    <t>COPPER CABLE, 1.5SQ.MM, 1 CORE</t>
  </si>
  <si>
    <t>MULTISTRAND PVC INSULATED FLEXIBLE COPPER CABLE OF SIZE 1.5SQMM SINGLE CORE,1.1KV GRADE IN 100 MTRS LENGTH COIL</t>
  </si>
  <si>
    <t>COPPER CABLE, 1.5SQ.MM, 2 CORE</t>
  </si>
  <si>
    <t>MULTISTRAND PVC INSULATED FLEXIBLE COPPER CABLE 1.5 SQMM 2CORE INDIVIDUALLY PVC INSULATED &amp; OVERALL PVC SHEATHED,1.1 KV GRADE.CONFORMING TO IS:694 AND 8130. LENGTH OF THE COIL SHALL BE 100MTRS+/- 10%</t>
  </si>
  <si>
    <t>COPPER CABLE, 1.5SQ.MM, 4 CORE</t>
  </si>
  <si>
    <t>MULTISTRAND PVC INSULATED FLEXIBLE COPPER CABLE 1.5SQMM 4CORE, INDIVIDUALLY PVC INSULATED &amp; OVERALL PVC SHEATHED, 1.1KV GRADE. CONFORMING TO IS:694 AND THE CONDUCTOR AND STRANDS USED SHALL BE AS PER IS:8130. LENGTH OF THE COIL SHALL BE 100 MTRS.+/-10%</t>
  </si>
  <si>
    <t>COPPER CABLE, 1.5SQ.MM, 6 CORE</t>
  </si>
  <si>
    <t>MULTISTRAND PVC INSULATED FLEXIBLE COPPER CABLE 1.5SQMM 6CORE, INDIVIDUALLY PVC INSULATED &amp; OVERALL PVC SHEATHED,1.1KV GRADE. CONFORMING TO IS:694 AND 8130. LENGTH OF THE COIL SHALL BE 100 MTRS.+/-10%</t>
  </si>
  <si>
    <t>COPPER CABLE, 1.5SQ.MM, 10 CORE</t>
  </si>
  <si>
    <t>MULTISTRAND PVC INSULATED FLEXIBLE COPPER CABLE 1.5sqmm,10CORE,INDIVIDUALLY PVC INSULATED &amp; OVERALL PVC SHEATHED,1.1KV GRADE. CONFORMING TI IS:694 AND 8130. LENGTH OF THE COIL SHALL BE 100MTRS +/-10%</t>
  </si>
  <si>
    <t>COPPER CABLE, 1.5SQ.MM, 16 CORE</t>
  </si>
  <si>
    <t>MULTISTRAND PVC INSULATED FLEXIBLE COPPER CABLE 1.5SQMM, 16 CORE, INDIVIDUALLY PVC INSULATED &amp; OVERALL PVC SHEATHED,1.1KV GRADE. CONFORMING TO IS:694 AND 8130. LENGTH OF THE COIL SHALL BE 100 MTRS.+/-10%</t>
  </si>
  <si>
    <t>COPPER CABLE, 1.5SQ.MM, 19 CORE</t>
  </si>
  <si>
    <t>MULTISTRANDED PVC INSULATED FLEXIBLE CABLE COPPER 19CORE INDIVIDUALLY PVC INSULATED AND OVERAL PVC SHEATHED OF EACH CORE 30/0.25MM(30STRANDS,EACH STRAND 0.25MM)1.1KV GRADE IN STANDARD LENGTH OF 100MTRS</t>
  </si>
  <si>
    <t>COPPER CABLE, 2.5SQ.MM, 1 CORE, BLACK COLOUR</t>
  </si>
  <si>
    <t>SINGLE CORE MULTISTRAND PVC INSULATED FLEXIBLE COPPER CABLE OF SIZE 2.5SQMM BLACK COLOUR, 1.1KV GRADE IN 100 MTRS LENGTH COIL</t>
  </si>
  <si>
    <t>COPPER CABLE, 2.5SQ.MM, 3 CORE</t>
  </si>
  <si>
    <t>MULTISTRAND PVC INSULATED FLEXIBLE COPPER CABLE 3CORE, 2.5SQMM INDIVIDUALLY PVC INSULATED &amp; OVERALL PVC SHEATHED, 1.1 KV GRADE. CONFORMING TO IS:694 AND 8130. LENGTH OF THE COIL SHALL BE 100MTRS +/-10%</t>
  </si>
  <si>
    <t>COPPER CABLE, 2.5SQ.MM, 4 CORE, BLACK COLOUR</t>
  </si>
  <si>
    <t>MULTISTRAND PVC INSULATED FLEXIBLE COPPER CABLE OF SIZE 2.5 SQ MM 4CORE BLACK COLOUR,1.1KV GRADE IN 100 MTRS LENGTH COIL</t>
  </si>
  <si>
    <t>COPPER CABLE, 4SQ.MM, 1 CORE, RED COLOUR</t>
  </si>
  <si>
    <t>SINGLE CORE MULTISTRAND PVC INSULATED FLEXIBLE COPPER CABLE OF SIZE 4SQ.MM RED COLOUR,1.1KV GRADE IN 100 MTRS LENGTH COIL</t>
  </si>
  <si>
    <t>COPPER CABLE, 4SQ.MM, 1 CORE, BLUE COLOUR</t>
  </si>
  <si>
    <t>COPPER CABLE SINGLE CORE,4SQ MM BLUE SINGLE CORE MULTISTRAND PVC INSULATED FLEXIBLE COPPER CABLE OF SIZE 4SQ MM BLUE COLOUR,1.1KV GRADE IN 100 MTRS LENGTH COIL</t>
  </si>
  <si>
    <t>COPPER CABLE, 4SQ.MM, 1 CORE, BLACK COLOUR</t>
  </si>
  <si>
    <t>COPPER CABLE SINGLE CORE,4SQ MM BLACK SINGLE CORE MULTISTRAND PVC INSULATED FLEXIBLE COPPER CABLE OF SIZE 4SQ.MM BLACK COLOUR,1.1KV GRADE IN 100MTRS LENGTH COIL</t>
  </si>
  <si>
    <t>COPPER CABLE, 4SQ.MM, 3 CORE</t>
  </si>
  <si>
    <t>MULTISTRAND PVC INSULATED FLEXIBLE COPPER CABLE 3CORE, 4SQ MM INDIVIDUALLY PVC INSULATED &amp; PVC SHEATHED. LENGTH OF THE COIL SHALL BE 100 MTRS</t>
  </si>
  <si>
    <t>COPPER CABLE, 4SQ.MM, 4 CORE</t>
  </si>
  <si>
    <t>4SQMM,4CORE MULTOSTRAND PVC INSULATED FLEXIBLE COPPER CABLE</t>
  </si>
  <si>
    <t>COPPER CABLE, 10SQ.MM, 1 CORE, BLACK COLOUR</t>
  </si>
  <si>
    <t>PVC INSULATED SINGLE CORE MULTISTRANDED FLEXIBLE COPPER CABLE 10SQMM OF , STRANDS SIZE MAX. 0.41MM DIA AS PER CLAUSE 5 OF IS : 8130 1.1 KV GRADE, BLACK COLOUR PACKING LENGTH 100 MTRS +/-10%</t>
  </si>
  <si>
    <t>COPPER CABLE, 16SQ.MM, 1 CORE, BLACK COLOUR</t>
  </si>
  <si>
    <t>PVC INSULATED SINGLE CORE MULTISTRANDED FLEXIBLE COPPER CABLE 16SQMM, 1.1KV GRADE, BLACK COLOUR. PACKING LENGTH 100MTRS +/-10%</t>
  </si>
  <si>
    <t>COPPER CABLE, 25SQ.MM, 1 CORE, BLACK COLOUR</t>
  </si>
  <si>
    <t>PVC INSULATED SINGLE CORE MULTISTRANDED FLEXIBLE COPPER CABLE, 25SQMM, 1.1KV GRADE, BLACK COLOUR. PACKING LENGTH 100MTRS +/-10%</t>
  </si>
  <si>
    <t>COPPER CABLE, 25SQ.MM, 4 CORE, ARMOURED</t>
  </si>
  <si>
    <t>25SQMM, 4CORE MULTISTRANDED COPPER CABLE PVC INSULATED, PVC SHEATHED GI ARMOURED. LENGTH OF EACH COIL SHALL BE 100MTRS OR ITS MULTIPLES</t>
  </si>
  <si>
    <t>COPPER CABLE, 50SQ.MM, 1 CORE, BLACK COLOUR</t>
  </si>
  <si>
    <t>PVC INSULATED SINGLE CORE MULTISTRANDED FLEXIBLE COPPER CABLE 50SQMM, 1.1KV GRADE, BLACK COLOUR. PACKING LENGTH 100MTRS +/-10%</t>
  </si>
  <si>
    <t>COPPER CABLE, 95SQ.MM, 1 CORE, BLACK COLOUR</t>
  </si>
  <si>
    <t>PVC INSULATED SINGLE CORE MULTISTRANDED FLEXIBLE COPPER CABLE 95SQMM, BLACK COLOUR 1.1KV GRADE, GRADE IN STANDARD LENGTH OF 100MTS +/-10%</t>
  </si>
  <si>
    <t>S.NO.</t>
  </si>
  <si>
    <t>SECTION</t>
  </si>
  <si>
    <t>PL NO.</t>
  </si>
  <si>
    <t>ITEM SHORT DESCRIPTION</t>
  </si>
  <si>
    <t>SHIFT/EWFPS</t>
  </si>
  <si>
    <t>SHIFT/EMR</t>
  </si>
  <si>
    <t>SHIFT/EMS</t>
  </si>
  <si>
    <t>EGS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</si>
</sst>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0.0"/>
      <color theme="1"/>
      <name val="Arial"/>
    </font>
    <font>
      <b/>
      <sz val="10.0"/>
      <color rgb="FFFF0000"/>
      <name val="Arial"/>
    </font>
    <font>
      <sz val="10.0"/>
      <color theme="1"/>
      <name val="Arial"/>
    </font>
    <font>
      <b/>
      <sz val="10.0"/>
      <color rgb="FFFF00FF"/>
      <name val="Arial"/>
    </font>
    <font>
      <sz val="10.0"/>
      <color rgb="FFFF0000"/>
      <name val="Arial"/>
    </font>
    <font>
      <b/>
      <sz val="12.0"/>
      <color theme="1"/>
      <name val="Arial"/>
    </font>
    <font>
      <sz val="12.0"/>
      <color theme="1"/>
      <name val="Arial"/>
    </font>
    <font>
      <sz val="12.0"/>
      <color theme="1"/>
      <name val="Poppins"/>
    </font>
  </fonts>
  <fills count="5">
    <fill>
      <patternFill patternType="none"/>
    </fill>
    <fill>
      <patternFill patternType="lightGray"/>
    </fill>
    <fill>
      <patternFill patternType="solid">
        <fgColor rgb="FFB7E1CD"/>
        <bgColor rgb="FFB7E1CD"/>
      </patternFill>
    </fill>
    <fill>
      <patternFill patternType="solid">
        <fgColor rgb="FFFFFFFF"/>
        <bgColor rgb="FFFFFFFF"/>
      </patternFill>
    </fill>
    <fill>
      <patternFill patternType="solid">
        <fgColor rgb="FF00FFFF"/>
        <bgColor rgb="FF00FFFF"/>
      </patternFill>
    </fill>
  </fills>
  <borders count="5">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3" fillId="0" fontId="1" numFmtId="0" xfId="0" applyAlignment="1" applyBorder="1" applyFont="1">
      <alignment horizontal="center" shrinkToFit="0" vertical="center" wrapText="1"/>
    </xf>
    <xf borderId="3" fillId="0" fontId="2" numFmtId="0" xfId="0" applyAlignment="1" applyBorder="1" applyFont="1">
      <alignment horizontal="center" shrinkToFit="0" vertical="center" wrapText="1"/>
    </xf>
    <xf borderId="3" fillId="0" fontId="3" numFmtId="0" xfId="0" applyAlignment="1" applyBorder="1" applyFont="1">
      <alignment horizontal="center" vertical="center"/>
    </xf>
    <xf borderId="3" fillId="0" fontId="3" numFmtId="0" xfId="0" applyAlignment="1" applyBorder="1" applyFont="1">
      <alignment horizontal="left" shrinkToFit="0" vertical="center" wrapText="1"/>
    </xf>
    <xf borderId="3" fillId="0" fontId="3" numFmtId="0" xfId="0" applyAlignment="1" applyBorder="1" applyFont="1">
      <alignment horizontal="center" shrinkToFit="0" vertical="center" wrapText="1"/>
    </xf>
    <xf borderId="3" fillId="0" fontId="3" numFmtId="0" xfId="0" applyAlignment="1" applyBorder="1" applyFont="1">
      <alignment vertical="center"/>
    </xf>
    <xf borderId="3" fillId="2" fontId="3" numFmtId="0" xfId="0" applyAlignment="1" applyBorder="1" applyFill="1" applyFont="1">
      <alignment horizontal="center" vertical="center"/>
    </xf>
    <xf borderId="3" fillId="0" fontId="4" numFmtId="0" xfId="0" applyAlignment="1" applyBorder="1" applyFont="1">
      <alignment horizontal="center" vertical="center"/>
    </xf>
    <xf borderId="3" fillId="3" fontId="3" numFmtId="0" xfId="0" applyAlignment="1" applyBorder="1" applyFill="1" applyFont="1">
      <alignment vertical="center"/>
    </xf>
    <xf borderId="3" fillId="2" fontId="5" numFmtId="0" xfId="0" applyAlignment="1" applyBorder="1" applyFont="1">
      <alignment horizontal="center" vertical="center"/>
    </xf>
    <xf borderId="3" fillId="0" fontId="5" numFmtId="0" xfId="0" applyAlignment="1" applyBorder="1" applyFont="1">
      <alignment horizontal="center" vertical="center"/>
    </xf>
    <xf borderId="0" fillId="0" fontId="3"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left" vertical="center"/>
    </xf>
    <xf borderId="4" fillId="4" fontId="6" numFmtId="0" xfId="0" applyAlignment="1" applyBorder="1" applyFill="1" applyFont="1">
      <alignment horizontal="center" shrinkToFit="0" vertical="center" wrapText="1"/>
    </xf>
    <xf borderId="0" fillId="0" fontId="3" numFmtId="0" xfId="0" applyFont="1"/>
    <xf borderId="3" fillId="0" fontId="7" numFmtId="0" xfId="0" applyAlignment="1" applyBorder="1" applyFont="1">
      <alignment horizontal="center" shrinkToFit="0" vertical="center" wrapText="1"/>
    </xf>
    <xf borderId="3" fillId="0" fontId="7" numFmtId="0" xfId="0" applyAlignment="1" applyBorder="1" applyFont="1">
      <alignment horizontal="center" vertical="center"/>
    </xf>
    <xf borderId="3" fillId="0" fontId="8" numFmtId="0" xfId="0" applyAlignment="1" applyBorder="1" applyFont="1">
      <alignment horizontal="center" shrinkToFit="0" vertical="center" wrapText="1"/>
    </xf>
    <xf borderId="0" fillId="0" fontId="7" numFmtId="0" xfId="0" applyAlignment="1" applyFont="1">
      <alignment horizontal="center" shrinkToFit="0" vertical="center" wrapText="1"/>
    </xf>
    <xf borderId="0" fillId="0" fontId="7" numFmtId="0" xfId="0" applyAlignment="1" applyFont="1">
      <alignment horizontal="center" vertical="center"/>
    </xf>
    <xf borderId="3" fillId="0" fontId="7" numFmtId="0" xfId="0" applyAlignment="1" applyBorder="1" applyFont="1">
      <alignment horizontal="center" readingOrder="0" shrinkToFit="0" vertical="center"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9.88"/>
    <col customWidth="1" min="2" max="4" width="12.63"/>
    <col customWidth="1" min="5" max="5" width="43.38"/>
    <col customWidth="1" min="6" max="6" width="63.13"/>
    <col customWidth="1" min="7" max="8" width="12.63"/>
    <col customWidth="1" min="9" max="9" width="15.13"/>
    <col customWidth="1" min="10" max="31" width="12.63"/>
    <col customWidth="1" min="32" max="35" width="15.13"/>
  </cols>
  <sheetData>
    <row r="1" ht="59.25" customHeight="1">
      <c r="A1" s="1"/>
      <c r="B1" s="1"/>
      <c r="C1" s="1"/>
      <c r="D1" s="1"/>
      <c r="E1" s="1"/>
      <c r="F1" s="1"/>
      <c r="G1" s="1"/>
      <c r="H1" s="1"/>
      <c r="I1" s="1"/>
      <c r="J1" s="1"/>
      <c r="K1" s="2" t="s">
        <v>0</v>
      </c>
      <c r="N1" s="2" t="s">
        <v>1</v>
      </c>
      <c r="Q1" s="2" t="s">
        <v>2</v>
      </c>
      <c r="T1" s="2" t="s">
        <v>3</v>
      </c>
      <c r="W1" s="2" t="s">
        <v>4</v>
      </c>
      <c r="Z1" s="2" t="s">
        <v>5</v>
      </c>
      <c r="AC1" s="2" t="s">
        <v>6</v>
      </c>
      <c r="AF1" s="1"/>
      <c r="AG1" s="1"/>
      <c r="AH1" s="1"/>
      <c r="AI1" s="1"/>
    </row>
    <row r="2" ht="59.25" customHeight="1">
      <c r="A2" s="3" t="s">
        <v>7</v>
      </c>
      <c r="B2" s="3" t="s">
        <v>8</v>
      </c>
      <c r="C2" s="3" t="s">
        <v>9</v>
      </c>
      <c r="D2" s="3" t="s">
        <v>10</v>
      </c>
      <c r="E2" s="3" t="s">
        <v>11</v>
      </c>
      <c r="F2" s="3" t="s">
        <v>12</v>
      </c>
      <c r="G2" s="3" t="s">
        <v>13</v>
      </c>
      <c r="H2" s="4" t="s">
        <v>14</v>
      </c>
      <c r="I2" s="5" t="s">
        <v>15</v>
      </c>
      <c r="J2" s="4" t="s">
        <v>16</v>
      </c>
      <c r="K2" s="5" t="s">
        <v>17</v>
      </c>
      <c r="L2" s="5" t="s">
        <v>18</v>
      </c>
      <c r="M2" s="5" t="s">
        <v>19</v>
      </c>
      <c r="N2" s="5" t="s">
        <v>17</v>
      </c>
      <c r="O2" s="5" t="s">
        <v>18</v>
      </c>
      <c r="P2" s="5" t="s">
        <v>19</v>
      </c>
      <c r="Q2" s="5" t="s">
        <v>17</v>
      </c>
      <c r="R2" s="5" t="s">
        <v>18</v>
      </c>
      <c r="S2" s="5" t="s">
        <v>19</v>
      </c>
      <c r="T2" s="6" t="s">
        <v>17</v>
      </c>
      <c r="U2" s="5" t="s">
        <v>18</v>
      </c>
      <c r="V2" s="5" t="s">
        <v>20</v>
      </c>
      <c r="W2" s="6" t="s">
        <v>17</v>
      </c>
      <c r="X2" s="5" t="s">
        <v>18</v>
      </c>
      <c r="Y2" s="5" t="s">
        <v>21</v>
      </c>
      <c r="Z2" s="6" t="s">
        <v>17</v>
      </c>
      <c r="AA2" s="5" t="s">
        <v>18</v>
      </c>
      <c r="AB2" s="5" t="s">
        <v>20</v>
      </c>
      <c r="AC2" s="6" t="s">
        <v>17</v>
      </c>
      <c r="AD2" s="5" t="s">
        <v>18</v>
      </c>
      <c r="AE2" s="5" t="s">
        <v>20</v>
      </c>
      <c r="AF2" s="5" t="s">
        <v>22</v>
      </c>
      <c r="AG2" s="5" t="s">
        <v>23</v>
      </c>
      <c r="AH2" s="5" t="s">
        <v>24</v>
      </c>
      <c r="AI2" s="5" t="s">
        <v>25</v>
      </c>
    </row>
    <row r="3" ht="30.0" customHeight="1">
      <c r="A3" s="7">
        <v>1.0</v>
      </c>
      <c r="B3" s="7">
        <v>7.5201318E7</v>
      </c>
      <c r="C3" s="7">
        <v>23.0</v>
      </c>
      <c r="D3" s="7">
        <v>10.0</v>
      </c>
      <c r="E3" s="8" t="s">
        <v>26</v>
      </c>
      <c r="F3" s="9" t="s">
        <v>26</v>
      </c>
      <c r="G3" s="7" t="s">
        <v>27</v>
      </c>
      <c r="H3" s="7">
        <v>3600.0</v>
      </c>
      <c r="I3" s="7">
        <v>5087.0</v>
      </c>
      <c r="J3" s="7">
        <f t="shared" ref="J3:J374" si="1">K3+N3+Q3+T3+W3+Z3+AC3</f>
        <v>3600</v>
      </c>
      <c r="K3" s="7">
        <v>0.0</v>
      </c>
      <c r="L3" s="7"/>
      <c r="M3" s="7">
        <f t="shared" ref="M3:M374" si="2">K3-L3</f>
        <v>0</v>
      </c>
      <c r="N3" s="7">
        <v>0.0</v>
      </c>
      <c r="O3" s="7"/>
      <c r="P3" s="7">
        <f t="shared" ref="P3:P374" si="3">N3-O3</f>
        <v>0</v>
      </c>
      <c r="Q3" s="7">
        <v>0.0</v>
      </c>
      <c r="R3" s="7"/>
      <c r="S3" s="7">
        <f t="shared" ref="S3:S374" si="4">Q3-R3</f>
        <v>0</v>
      </c>
      <c r="T3" s="7">
        <v>0.0</v>
      </c>
      <c r="U3" s="7"/>
      <c r="V3" s="7">
        <f t="shared" ref="V3:V374" si="5">T3-U3</f>
        <v>0</v>
      </c>
      <c r="W3" s="7">
        <v>0.0</v>
      </c>
      <c r="X3" s="7"/>
      <c r="Y3" s="7">
        <f t="shared" ref="Y3:Y374" si="6">W3-X3</f>
        <v>0</v>
      </c>
      <c r="Z3" s="7">
        <v>0.0</v>
      </c>
      <c r="AA3" s="7"/>
      <c r="AB3" s="7">
        <f t="shared" ref="AB3:AB374" si="7">Z3-AA3</f>
        <v>0</v>
      </c>
      <c r="AC3" s="7">
        <v>3600.0</v>
      </c>
      <c r="AD3" s="7"/>
      <c r="AE3" s="7">
        <f t="shared" ref="AE3:AE374" si="8">AC3-AD3</f>
        <v>3600</v>
      </c>
      <c r="AF3" s="10"/>
      <c r="AG3" s="10"/>
      <c r="AH3" s="10"/>
      <c r="AI3" s="10"/>
    </row>
    <row r="4" ht="30.0" customHeight="1">
      <c r="A4" s="7">
        <v>2.0</v>
      </c>
      <c r="B4" s="7">
        <v>7.5908426E7</v>
      </c>
      <c r="C4" s="7">
        <v>23.0</v>
      </c>
      <c r="D4" s="7">
        <v>10.0</v>
      </c>
      <c r="E4" s="8" t="s">
        <v>28</v>
      </c>
      <c r="F4" s="9" t="s">
        <v>29</v>
      </c>
      <c r="G4" s="7" t="s">
        <v>27</v>
      </c>
      <c r="H4" s="7">
        <v>52.0</v>
      </c>
      <c r="I4" s="7">
        <v>976.0</v>
      </c>
      <c r="J4" s="7">
        <f t="shared" si="1"/>
        <v>52</v>
      </c>
      <c r="K4" s="7">
        <v>0.0</v>
      </c>
      <c r="L4" s="7"/>
      <c r="M4" s="7">
        <f t="shared" si="2"/>
        <v>0</v>
      </c>
      <c r="N4" s="7">
        <v>0.0</v>
      </c>
      <c r="O4" s="7"/>
      <c r="P4" s="7">
        <f t="shared" si="3"/>
        <v>0</v>
      </c>
      <c r="Q4" s="7">
        <v>0.0</v>
      </c>
      <c r="R4" s="7"/>
      <c r="S4" s="7">
        <f t="shared" si="4"/>
        <v>0</v>
      </c>
      <c r="T4" s="7">
        <v>0.0</v>
      </c>
      <c r="U4" s="7"/>
      <c r="V4" s="7">
        <f t="shared" si="5"/>
        <v>0</v>
      </c>
      <c r="W4" s="7">
        <v>0.0</v>
      </c>
      <c r="X4" s="7"/>
      <c r="Y4" s="7">
        <f t="shared" si="6"/>
        <v>0</v>
      </c>
      <c r="Z4" s="7">
        <v>0.0</v>
      </c>
      <c r="AA4" s="7"/>
      <c r="AB4" s="7">
        <f t="shared" si="7"/>
        <v>0</v>
      </c>
      <c r="AC4" s="7">
        <v>52.0</v>
      </c>
      <c r="AD4" s="7"/>
      <c r="AE4" s="7">
        <f t="shared" si="8"/>
        <v>52</v>
      </c>
      <c r="AF4" s="10"/>
      <c r="AG4" s="10"/>
      <c r="AH4" s="10"/>
      <c r="AI4" s="10"/>
    </row>
    <row r="5" ht="30.0" customHeight="1">
      <c r="A5" s="7">
        <v>3.0</v>
      </c>
      <c r="B5" s="7">
        <v>7.5908402E7</v>
      </c>
      <c r="C5" s="7">
        <v>23.0</v>
      </c>
      <c r="D5" s="7">
        <v>10.0</v>
      </c>
      <c r="E5" s="8" t="s">
        <v>30</v>
      </c>
      <c r="F5" s="9" t="s">
        <v>31</v>
      </c>
      <c r="G5" s="7" t="s">
        <v>27</v>
      </c>
      <c r="H5" s="7">
        <v>28.0</v>
      </c>
      <c r="I5" s="7">
        <v>276.0</v>
      </c>
      <c r="J5" s="7">
        <f t="shared" si="1"/>
        <v>28</v>
      </c>
      <c r="K5" s="7">
        <v>0.0</v>
      </c>
      <c r="L5" s="7"/>
      <c r="M5" s="7">
        <f t="shared" si="2"/>
        <v>0</v>
      </c>
      <c r="N5" s="7">
        <v>0.0</v>
      </c>
      <c r="O5" s="7"/>
      <c r="P5" s="7">
        <f t="shared" si="3"/>
        <v>0</v>
      </c>
      <c r="Q5" s="7">
        <v>0.0</v>
      </c>
      <c r="R5" s="7"/>
      <c r="S5" s="7">
        <f t="shared" si="4"/>
        <v>0</v>
      </c>
      <c r="T5" s="7">
        <v>0.0</v>
      </c>
      <c r="U5" s="7"/>
      <c r="V5" s="7">
        <f t="shared" si="5"/>
        <v>0</v>
      </c>
      <c r="W5" s="7">
        <v>0.0</v>
      </c>
      <c r="X5" s="7"/>
      <c r="Y5" s="7">
        <f t="shared" si="6"/>
        <v>0</v>
      </c>
      <c r="Z5" s="7">
        <v>0.0</v>
      </c>
      <c r="AA5" s="7"/>
      <c r="AB5" s="7">
        <f t="shared" si="7"/>
        <v>0</v>
      </c>
      <c r="AC5" s="7">
        <v>28.0</v>
      </c>
      <c r="AD5" s="7"/>
      <c r="AE5" s="7">
        <f t="shared" si="8"/>
        <v>28</v>
      </c>
      <c r="AF5" s="10"/>
      <c r="AG5" s="10"/>
      <c r="AH5" s="10"/>
      <c r="AI5" s="10"/>
    </row>
    <row r="6" ht="30.0" customHeight="1">
      <c r="A6" s="7">
        <v>4.0</v>
      </c>
      <c r="B6" s="7">
        <v>7.59087E7</v>
      </c>
      <c r="C6" s="7">
        <v>23.0</v>
      </c>
      <c r="D6" s="7">
        <v>10.0</v>
      </c>
      <c r="E6" s="8" t="s">
        <v>32</v>
      </c>
      <c r="F6" s="9" t="s">
        <v>32</v>
      </c>
      <c r="G6" s="7" t="s">
        <v>27</v>
      </c>
      <c r="H6" s="7">
        <v>3600.0</v>
      </c>
      <c r="I6" s="7">
        <v>42189.0</v>
      </c>
      <c r="J6" s="7">
        <f t="shared" si="1"/>
        <v>3600</v>
      </c>
      <c r="K6" s="7">
        <v>0.0</v>
      </c>
      <c r="L6" s="7"/>
      <c r="M6" s="7">
        <f t="shared" si="2"/>
        <v>0</v>
      </c>
      <c r="N6" s="7">
        <v>0.0</v>
      </c>
      <c r="O6" s="7"/>
      <c r="P6" s="7">
        <f t="shared" si="3"/>
        <v>0</v>
      </c>
      <c r="Q6" s="7">
        <v>0.0</v>
      </c>
      <c r="R6" s="7"/>
      <c r="S6" s="7">
        <f t="shared" si="4"/>
        <v>0</v>
      </c>
      <c r="T6" s="7">
        <v>0.0</v>
      </c>
      <c r="U6" s="7"/>
      <c r="V6" s="7">
        <f t="shared" si="5"/>
        <v>0</v>
      </c>
      <c r="W6" s="7">
        <v>0.0</v>
      </c>
      <c r="X6" s="7"/>
      <c r="Y6" s="7">
        <f t="shared" si="6"/>
        <v>0</v>
      </c>
      <c r="Z6" s="7">
        <v>0.0</v>
      </c>
      <c r="AA6" s="7"/>
      <c r="AB6" s="7">
        <f t="shared" si="7"/>
        <v>0</v>
      </c>
      <c r="AC6" s="7">
        <v>3600.0</v>
      </c>
      <c r="AD6" s="7"/>
      <c r="AE6" s="7">
        <f t="shared" si="8"/>
        <v>3600</v>
      </c>
      <c r="AF6" s="10"/>
      <c r="AG6" s="10"/>
      <c r="AH6" s="10"/>
      <c r="AI6" s="10"/>
    </row>
    <row r="7" ht="30.0" customHeight="1">
      <c r="A7" s="7">
        <v>5.0</v>
      </c>
      <c r="B7" s="7">
        <v>7.5909273E7</v>
      </c>
      <c r="C7" s="7">
        <v>23.0</v>
      </c>
      <c r="D7" s="7">
        <v>10.0</v>
      </c>
      <c r="E7" s="8" t="s">
        <v>33</v>
      </c>
      <c r="F7" s="9" t="s">
        <v>33</v>
      </c>
      <c r="G7" s="7" t="s">
        <v>27</v>
      </c>
      <c r="H7" s="7">
        <v>3600.0</v>
      </c>
      <c r="I7" s="7">
        <v>48887.0</v>
      </c>
      <c r="J7" s="7">
        <f t="shared" si="1"/>
        <v>3600</v>
      </c>
      <c r="K7" s="7">
        <v>0.0</v>
      </c>
      <c r="L7" s="7"/>
      <c r="M7" s="7">
        <f t="shared" si="2"/>
        <v>0</v>
      </c>
      <c r="N7" s="7">
        <v>0.0</v>
      </c>
      <c r="O7" s="7"/>
      <c r="P7" s="7">
        <f t="shared" si="3"/>
        <v>0</v>
      </c>
      <c r="Q7" s="7">
        <v>0.0</v>
      </c>
      <c r="R7" s="7"/>
      <c r="S7" s="7">
        <f t="shared" si="4"/>
        <v>0</v>
      </c>
      <c r="T7" s="7">
        <v>0.0</v>
      </c>
      <c r="U7" s="7"/>
      <c r="V7" s="7">
        <f t="shared" si="5"/>
        <v>0</v>
      </c>
      <c r="W7" s="7">
        <v>0.0</v>
      </c>
      <c r="X7" s="7"/>
      <c r="Y7" s="7">
        <f t="shared" si="6"/>
        <v>0</v>
      </c>
      <c r="Z7" s="7">
        <v>0.0</v>
      </c>
      <c r="AA7" s="7"/>
      <c r="AB7" s="7">
        <f t="shared" si="7"/>
        <v>0</v>
      </c>
      <c r="AC7" s="7">
        <v>3600.0</v>
      </c>
      <c r="AD7" s="7"/>
      <c r="AE7" s="7">
        <f t="shared" si="8"/>
        <v>3600</v>
      </c>
      <c r="AF7" s="10"/>
      <c r="AG7" s="10"/>
      <c r="AH7" s="10"/>
      <c r="AI7" s="10"/>
    </row>
    <row r="8" ht="30.0" customHeight="1">
      <c r="A8" s="7">
        <v>6.0</v>
      </c>
      <c r="B8" s="7">
        <v>7.5980484E7</v>
      </c>
      <c r="C8" s="7">
        <v>23.0</v>
      </c>
      <c r="D8" s="7">
        <v>10.0</v>
      </c>
      <c r="E8" s="8" t="s">
        <v>34</v>
      </c>
      <c r="F8" s="9" t="s">
        <v>35</v>
      </c>
      <c r="G8" s="7" t="s">
        <v>27</v>
      </c>
      <c r="H8" s="7">
        <v>40.0</v>
      </c>
      <c r="I8" s="7">
        <v>6.0</v>
      </c>
      <c r="J8" s="7">
        <f t="shared" si="1"/>
        <v>40</v>
      </c>
      <c r="K8" s="7">
        <v>0.0</v>
      </c>
      <c r="L8" s="7"/>
      <c r="M8" s="7">
        <f t="shared" si="2"/>
        <v>0</v>
      </c>
      <c r="N8" s="7">
        <v>0.0</v>
      </c>
      <c r="O8" s="7"/>
      <c r="P8" s="7">
        <f t="shared" si="3"/>
        <v>0</v>
      </c>
      <c r="Q8" s="7">
        <v>0.0</v>
      </c>
      <c r="R8" s="7"/>
      <c r="S8" s="7">
        <f t="shared" si="4"/>
        <v>0</v>
      </c>
      <c r="T8" s="7">
        <v>0.0</v>
      </c>
      <c r="U8" s="7"/>
      <c r="V8" s="7">
        <f t="shared" si="5"/>
        <v>0</v>
      </c>
      <c r="W8" s="7">
        <v>0.0</v>
      </c>
      <c r="X8" s="7"/>
      <c r="Y8" s="7">
        <f t="shared" si="6"/>
        <v>0</v>
      </c>
      <c r="Z8" s="7">
        <v>0.0</v>
      </c>
      <c r="AA8" s="7"/>
      <c r="AB8" s="7">
        <f t="shared" si="7"/>
        <v>0</v>
      </c>
      <c r="AC8" s="7">
        <v>40.0</v>
      </c>
      <c r="AD8" s="7"/>
      <c r="AE8" s="7">
        <f t="shared" si="8"/>
        <v>40</v>
      </c>
      <c r="AF8" s="10"/>
      <c r="AG8" s="10"/>
      <c r="AH8" s="10"/>
      <c r="AI8" s="10"/>
    </row>
    <row r="9" ht="30.0" customHeight="1">
      <c r="A9" s="7">
        <v>7.0</v>
      </c>
      <c r="B9" s="7">
        <v>7.8010512E7</v>
      </c>
      <c r="C9" s="7">
        <v>23.0</v>
      </c>
      <c r="D9" s="7">
        <v>10.0</v>
      </c>
      <c r="E9" s="8" t="s">
        <v>36</v>
      </c>
      <c r="F9" s="9" t="s">
        <v>37</v>
      </c>
      <c r="G9" s="7" t="s">
        <v>27</v>
      </c>
      <c r="H9" s="7">
        <v>50.0</v>
      </c>
      <c r="I9" s="7">
        <v>1550.0</v>
      </c>
      <c r="J9" s="7">
        <f t="shared" si="1"/>
        <v>50</v>
      </c>
      <c r="K9" s="7">
        <v>0.0</v>
      </c>
      <c r="L9" s="7"/>
      <c r="M9" s="7">
        <f t="shared" si="2"/>
        <v>0</v>
      </c>
      <c r="N9" s="7">
        <v>0.0</v>
      </c>
      <c r="O9" s="7"/>
      <c r="P9" s="7">
        <f t="shared" si="3"/>
        <v>0</v>
      </c>
      <c r="Q9" s="7">
        <v>0.0</v>
      </c>
      <c r="R9" s="7"/>
      <c r="S9" s="7">
        <f t="shared" si="4"/>
        <v>0</v>
      </c>
      <c r="T9" s="7">
        <v>0.0</v>
      </c>
      <c r="U9" s="7"/>
      <c r="V9" s="7">
        <f t="shared" si="5"/>
        <v>0</v>
      </c>
      <c r="W9" s="7">
        <v>0.0</v>
      </c>
      <c r="X9" s="7"/>
      <c r="Y9" s="7">
        <f t="shared" si="6"/>
        <v>0</v>
      </c>
      <c r="Z9" s="7">
        <v>0.0</v>
      </c>
      <c r="AA9" s="7"/>
      <c r="AB9" s="7">
        <f t="shared" si="7"/>
        <v>0</v>
      </c>
      <c r="AC9" s="7">
        <v>50.0</v>
      </c>
      <c r="AD9" s="7"/>
      <c r="AE9" s="7">
        <f t="shared" si="8"/>
        <v>50</v>
      </c>
      <c r="AF9" s="10"/>
      <c r="AG9" s="10"/>
      <c r="AH9" s="10"/>
      <c r="AI9" s="10"/>
    </row>
    <row r="10" ht="30.0" customHeight="1">
      <c r="A10" s="7">
        <v>8.0</v>
      </c>
      <c r="B10" s="7">
        <v>8.1050628E7</v>
      </c>
      <c r="C10" s="7">
        <v>23.0</v>
      </c>
      <c r="D10" s="7">
        <v>10.0</v>
      </c>
      <c r="E10" s="8" t="s">
        <v>38</v>
      </c>
      <c r="F10" s="9" t="s">
        <v>39</v>
      </c>
      <c r="G10" s="7" t="s">
        <v>40</v>
      </c>
      <c r="H10" s="7">
        <v>300.0</v>
      </c>
      <c r="I10" s="7">
        <v>1400.0</v>
      </c>
      <c r="J10" s="7">
        <f t="shared" si="1"/>
        <v>300</v>
      </c>
      <c r="K10" s="7">
        <v>0.0</v>
      </c>
      <c r="L10" s="7"/>
      <c r="M10" s="7">
        <f t="shared" si="2"/>
        <v>0</v>
      </c>
      <c r="N10" s="7">
        <v>0.0</v>
      </c>
      <c r="O10" s="7"/>
      <c r="P10" s="7">
        <f t="shared" si="3"/>
        <v>0</v>
      </c>
      <c r="Q10" s="7">
        <v>0.0</v>
      </c>
      <c r="R10" s="7"/>
      <c r="S10" s="7">
        <f t="shared" si="4"/>
        <v>0</v>
      </c>
      <c r="T10" s="7">
        <v>0.0</v>
      </c>
      <c r="U10" s="7"/>
      <c r="V10" s="7">
        <f t="shared" si="5"/>
        <v>0</v>
      </c>
      <c r="W10" s="7">
        <v>0.0</v>
      </c>
      <c r="X10" s="7"/>
      <c r="Y10" s="7">
        <f t="shared" si="6"/>
        <v>0</v>
      </c>
      <c r="Z10" s="7">
        <v>0.0</v>
      </c>
      <c r="AA10" s="7"/>
      <c r="AB10" s="7">
        <f t="shared" si="7"/>
        <v>0</v>
      </c>
      <c r="AC10" s="7">
        <v>300.0</v>
      </c>
      <c r="AD10" s="7"/>
      <c r="AE10" s="7">
        <f t="shared" si="8"/>
        <v>300</v>
      </c>
      <c r="AF10" s="10"/>
      <c r="AG10" s="10"/>
      <c r="AH10" s="10"/>
      <c r="AI10" s="10"/>
    </row>
    <row r="11" ht="30.0" customHeight="1">
      <c r="A11" s="7">
        <v>9.0</v>
      </c>
      <c r="B11" s="7">
        <v>8.1050811E7</v>
      </c>
      <c r="C11" s="7">
        <v>23.0</v>
      </c>
      <c r="D11" s="7">
        <v>10.0</v>
      </c>
      <c r="E11" s="8" t="s">
        <v>41</v>
      </c>
      <c r="F11" s="9" t="s">
        <v>41</v>
      </c>
      <c r="G11" s="7" t="s">
        <v>27</v>
      </c>
      <c r="H11" s="7">
        <v>800.0</v>
      </c>
      <c r="I11" s="7">
        <v>23.0</v>
      </c>
      <c r="J11" s="7">
        <f t="shared" si="1"/>
        <v>800</v>
      </c>
      <c r="K11" s="7">
        <v>0.0</v>
      </c>
      <c r="L11" s="7"/>
      <c r="M11" s="7">
        <f t="shared" si="2"/>
        <v>0</v>
      </c>
      <c r="N11" s="7">
        <v>0.0</v>
      </c>
      <c r="O11" s="7"/>
      <c r="P11" s="7">
        <f t="shared" si="3"/>
        <v>0</v>
      </c>
      <c r="Q11" s="7">
        <v>0.0</v>
      </c>
      <c r="R11" s="7"/>
      <c r="S11" s="7">
        <f t="shared" si="4"/>
        <v>0</v>
      </c>
      <c r="T11" s="7">
        <v>0.0</v>
      </c>
      <c r="U11" s="7"/>
      <c r="V11" s="7">
        <f t="shared" si="5"/>
        <v>0</v>
      </c>
      <c r="W11" s="7">
        <v>0.0</v>
      </c>
      <c r="X11" s="7"/>
      <c r="Y11" s="7">
        <f t="shared" si="6"/>
        <v>0</v>
      </c>
      <c r="Z11" s="7">
        <v>0.0</v>
      </c>
      <c r="AA11" s="7"/>
      <c r="AB11" s="7">
        <f t="shared" si="7"/>
        <v>0</v>
      </c>
      <c r="AC11" s="7">
        <v>800.0</v>
      </c>
      <c r="AD11" s="7"/>
      <c r="AE11" s="7">
        <f t="shared" si="8"/>
        <v>800</v>
      </c>
      <c r="AF11" s="10"/>
      <c r="AG11" s="10"/>
      <c r="AH11" s="10"/>
      <c r="AI11" s="10"/>
    </row>
    <row r="12" ht="30.0" customHeight="1">
      <c r="A12" s="7">
        <v>10.0</v>
      </c>
      <c r="B12" s="7">
        <v>8.1140022E7</v>
      </c>
      <c r="C12" s="7">
        <v>23.0</v>
      </c>
      <c r="D12" s="7">
        <v>10.0</v>
      </c>
      <c r="E12" s="8" t="s">
        <v>42</v>
      </c>
      <c r="F12" s="9" t="s">
        <v>42</v>
      </c>
      <c r="G12" s="7" t="s">
        <v>27</v>
      </c>
      <c r="H12" s="7">
        <v>800.0</v>
      </c>
      <c r="I12" s="7">
        <v>8897.0</v>
      </c>
      <c r="J12" s="7">
        <f t="shared" si="1"/>
        <v>800</v>
      </c>
      <c r="K12" s="7">
        <v>0.0</v>
      </c>
      <c r="L12" s="7"/>
      <c r="M12" s="7">
        <f t="shared" si="2"/>
        <v>0</v>
      </c>
      <c r="N12" s="7">
        <v>0.0</v>
      </c>
      <c r="O12" s="7"/>
      <c r="P12" s="7">
        <f t="shared" si="3"/>
        <v>0</v>
      </c>
      <c r="Q12" s="7">
        <v>0.0</v>
      </c>
      <c r="R12" s="7"/>
      <c r="S12" s="7">
        <f t="shared" si="4"/>
        <v>0</v>
      </c>
      <c r="T12" s="7">
        <v>0.0</v>
      </c>
      <c r="U12" s="7"/>
      <c r="V12" s="7">
        <f t="shared" si="5"/>
        <v>0</v>
      </c>
      <c r="W12" s="7">
        <v>0.0</v>
      </c>
      <c r="X12" s="7"/>
      <c r="Y12" s="7">
        <f t="shared" si="6"/>
        <v>0</v>
      </c>
      <c r="Z12" s="7">
        <v>0.0</v>
      </c>
      <c r="AA12" s="7"/>
      <c r="AB12" s="7">
        <f t="shared" si="7"/>
        <v>0</v>
      </c>
      <c r="AC12" s="7">
        <v>800.0</v>
      </c>
      <c r="AD12" s="7"/>
      <c r="AE12" s="7">
        <f t="shared" si="8"/>
        <v>800</v>
      </c>
      <c r="AF12" s="10"/>
      <c r="AG12" s="10"/>
      <c r="AH12" s="10"/>
      <c r="AI12" s="10"/>
    </row>
    <row r="13" ht="30.0" customHeight="1">
      <c r="A13" s="7">
        <v>11.0</v>
      </c>
      <c r="B13" s="7">
        <v>7.9010805E7</v>
      </c>
      <c r="C13" s="7">
        <v>23.0</v>
      </c>
      <c r="D13" s="7">
        <v>10.0</v>
      </c>
      <c r="E13" s="8" t="s">
        <v>43</v>
      </c>
      <c r="F13" s="9" t="s">
        <v>43</v>
      </c>
      <c r="G13" s="7" t="s">
        <v>44</v>
      </c>
      <c r="H13" s="7">
        <v>720.0</v>
      </c>
      <c r="I13" s="7">
        <v>4809.1</v>
      </c>
      <c r="J13" s="7">
        <f t="shared" si="1"/>
        <v>720</v>
      </c>
      <c r="K13" s="7">
        <v>0.0</v>
      </c>
      <c r="L13" s="7"/>
      <c r="M13" s="7">
        <f t="shared" si="2"/>
        <v>0</v>
      </c>
      <c r="N13" s="7">
        <v>0.0</v>
      </c>
      <c r="O13" s="7"/>
      <c r="P13" s="7">
        <f t="shared" si="3"/>
        <v>0</v>
      </c>
      <c r="Q13" s="7">
        <v>0.0</v>
      </c>
      <c r="R13" s="7"/>
      <c r="S13" s="7">
        <f t="shared" si="4"/>
        <v>0</v>
      </c>
      <c r="T13" s="7">
        <v>0.0</v>
      </c>
      <c r="U13" s="7"/>
      <c r="V13" s="7">
        <f t="shared" si="5"/>
        <v>0</v>
      </c>
      <c r="W13" s="7">
        <v>0.0</v>
      </c>
      <c r="X13" s="7"/>
      <c r="Y13" s="7">
        <f t="shared" si="6"/>
        <v>0</v>
      </c>
      <c r="Z13" s="7">
        <v>0.0</v>
      </c>
      <c r="AA13" s="7"/>
      <c r="AB13" s="7">
        <f t="shared" si="7"/>
        <v>0</v>
      </c>
      <c r="AC13" s="7">
        <v>720.0</v>
      </c>
      <c r="AD13" s="7"/>
      <c r="AE13" s="7">
        <f t="shared" si="8"/>
        <v>720</v>
      </c>
      <c r="AF13" s="10"/>
      <c r="AG13" s="10"/>
      <c r="AH13" s="10"/>
      <c r="AI13" s="10"/>
    </row>
    <row r="14" ht="30.0" customHeight="1">
      <c r="A14" s="7">
        <v>12.0</v>
      </c>
      <c r="B14" s="7">
        <v>7.9011652E7</v>
      </c>
      <c r="C14" s="7">
        <v>23.0</v>
      </c>
      <c r="D14" s="7">
        <v>10.0</v>
      </c>
      <c r="E14" s="8" t="s">
        <v>45</v>
      </c>
      <c r="F14" s="9" t="s">
        <v>46</v>
      </c>
      <c r="G14" s="7" t="s">
        <v>27</v>
      </c>
      <c r="H14" s="7">
        <v>60.0</v>
      </c>
      <c r="I14" s="7">
        <v>457.0</v>
      </c>
      <c r="J14" s="7">
        <f t="shared" si="1"/>
        <v>60</v>
      </c>
      <c r="K14" s="7">
        <v>0.0</v>
      </c>
      <c r="L14" s="7"/>
      <c r="M14" s="7">
        <f t="shared" si="2"/>
        <v>0</v>
      </c>
      <c r="N14" s="7">
        <v>0.0</v>
      </c>
      <c r="O14" s="7"/>
      <c r="P14" s="7">
        <f t="shared" si="3"/>
        <v>0</v>
      </c>
      <c r="Q14" s="7">
        <v>0.0</v>
      </c>
      <c r="R14" s="7"/>
      <c r="S14" s="7">
        <f t="shared" si="4"/>
        <v>0</v>
      </c>
      <c r="T14" s="7">
        <v>0.0</v>
      </c>
      <c r="U14" s="7"/>
      <c r="V14" s="7">
        <f t="shared" si="5"/>
        <v>0</v>
      </c>
      <c r="W14" s="7">
        <v>0.0</v>
      </c>
      <c r="X14" s="7"/>
      <c r="Y14" s="7">
        <f t="shared" si="6"/>
        <v>0</v>
      </c>
      <c r="Z14" s="7">
        <v>0.0</v>
      </c>
      <c r="AA14" s="7"/>
      <c r="AB14" s="7">
        <f t="shared" si="7"/>
        <v>0</v>
      </c>
      <c r="AC14" s="7">
        <v>60.0</v>
      </c>
      <c r="AD14" s="7"/>
      <c r="AE14" s="7">
        <f t="shared" si="8"/>
        <v>60</v>
      </c>
      <c r="AF14" s="7">
        <v>39.0</v>
      </c>
      <c r="AG14" s="7">
        <v>1108.0</v>
      </c>
      <c r="AH14" s="7">
        <v>1705.0</v>
      </c>
      <c r="AI14" s="11">
        <v>0.0</v>
      </c>
    </row>
    <row r="15" ht="30.0" customHeight="1">
      <c r="A15" s="7">
        <v>13.0</v>
      </c>
      <c r="B15" s="7">
        <v>7.9021293E7</v>
      </c>
      <c r="C15" s="7">
        <v>23.0</v>
      </c>
      <c r="D15" s="7">
        <v>10.0</v>
      </c>
      <c r="E15" s="8" t="s">
        <v>47</v>
      </c>
      <c r="F15" s="9" t="s">
        <v>47</v>
      </c>
      <c r="G15" s="7" t="s">
        <v>44</v>
      </c>
      <c r="H15" s="7">
        <v>200.0</v>
      </c>
      <c r="I15" s="7">
        <v>588.8</v>
      </c>
      <c r="J15" s="7">
        <f t="shared" si="1"/>
        <v>200</v>
      </c>
      <c r="K15" s="7">
        <v>0.0</v>
      </c>
      <c r="L15" s="7"/>
      <c r="M15" s="7">
        <f t="shared" si="2"/>
        <v>0</v>
      </c>
      <c r="N15" s="7">
        <v>0.0</v>
      </c>
      <c r="O15" s="7"/>
      <c r="P15" s="7">
        <f t="shared" si="3"/>
        <v>0</v>
      </c>
      <c r="Q15" s="7">
        <v>0.0</v>
      </c>
      <c r="R15" s="7"/>
      <c r="S15" s="7">
        <f t="shared" si="4"/>
        <v>0</v>
      </c>
      <c r="T15" s="7">
        <v>0.0</v>
      </c>
      <c r="U15" s="7"/>
      <c r="V15" s="7">
        <f t="shared" si="5"/>
        <v>0</v>
      </c>
      <c r="W15" s="7">
        <v>0.0</v>
      </c>
      <c r="X15" s="7"/>
      <c r="Y15" s="7">
        <f t="shared" si="6"/>
        <v>0</v>
      </c>
      <c r="Z15" s="7">
        <v>0.0</v>
      </c>
      <c r="AA15" s="7"/>
      <c r="AB15" s="7">
        <f t="shared" si="7"/>
        <v>0</v>
      </c>
      <c r="AC15" s="7">
        <v>200.0</v>
      </c>
      <c r="AD15" s="7"/>
      <c r="AE15" s="7">
        <f t="shared" si="8"/>
        <v>200</v>
      </c>
      <c r="AF15" s="10"/>
      <c r="AG15" s="10"/>
      <c r="AH15" s="10"/>
      <c r="AI15" s="10"/>
    </row>
    <row r="16" ht="30.0" customHeight="1">
      <c r="A16" s="7">
        <v>14.0</v>
      </c>
      <c r="B16" s="7">
        <v>7.9040044E7</v>
      </c>
      <c r="C16" s="7">
        <v>23.0</v>
      </c>
      <c r="D16" s="7">
        <v>10.0</v>
      </c>
      <c r="E16" s="8" t="s">
        <v>48</v>
      </c>
      <c r="F16" s="9" t="s">
        <v>48</v>
      </c>
      <c r="G16" s="7" t="s">
        <v>44</v>
      </c>
      <c r="H16" s="7">
        <v>200.0</v>
      </c>
      <c r="I16" s="7">
        <v>1120.0</v>
      </c>
      <c r="J16" s="7">
        <f t="shared" si="1"/>
        <v>200</v>
      </c>
      <c r="K16" s="7">
        <v>0.0</v>
      </c>
      <c r="L16" s="7"/>
      <c r="M16" s="7">
        <f t="shared" si="2"/>
        <v>0</v>
      </c>
      <c r="N16" s="7">
        <v>0.0</v>
      </c>
      <c r="O16" s="7"/>
      <c r="P16" s="7">
        <f t="shared" si="3"/>
        <v>0</v>
      </c>
      <c r="Q16" s="7">
        <v>0.0</v>
      </c>
      <c r="R16" s="7"/>
      <c r="S16" s="7">
        <f t="shared" si="4"/>
        <v>0</v>
      </c>
      <c r="T16" s="7">
        <v>0.0</v>
      </c>
      <c r="U16" s="7"/>
      <c r="V16" s="7">
        <f t="shared" si="5"/>
        <v>0</v>
      </c>
      <c r="W16" s="7">
        <v>0.0</v>
      </c>
      <c r="X16" s="7"/>
      <c r="Y16" s="7">
        <f t="shared" si="6"/>
        <v>0</v>
      </c>
      <c r="Z16" s="7">
        <v>0.0</v>
      </c>
      <c r="AA16" s="7"/>
      <c r="AB16" s="7">
        <f t="shared" si="7"/>
        <v>0</v>
      </c>
      <c r="AC16" s="7">
        <v>200.0</v>
      </c>
      <c r="AD16" s="7"/>
      <c r="AE16" s="7">
        <f t="shared" si="8"/>
        <v>200</v>
      </c>
      <c r="AF16" s="10"/>
      <c r="AG16" s="10"/>
      <c r="AH16" s="10"/>
      <c r="AI16" s="10"/>
    </row>
    <row r="17" ht="30.0" customHeight="1">
      <c r="A17" s="7">
        <v>15.0</v>
      </c>
      <c r="B17" s="7">
        <v>7.9510127E7</v>
      </c>
      <c r="C17" s="7">
        <v>23.0</v>
      </c>
      <c r="D17" s="7">
        <v>10.0</v>
      </c>
      <c r="E17" s="8" t="s">
        <v>49</v>
      </c>
      <c r="F17" s="9" t="s">
        <v>50</v>
      </c>
      <c r="G17" s="7" t="s">
        <v>44</v>
      </c>
      <c r="H17" s="7">
        <v>100.0</v>
      </c>
      <c r="I17" s="7">
        <v>2195.0</v>
      </c>
      <c r="J17" s="7">
        <f t="shared" si="1"/>
        <v>100</v>
      </c>
      <c r="K17" s="7">
        <v>0.0</v>
      </c>
      <c r="L17" s="7"/>
      <c r="M17" s="7">
        <f t="shared" si="2"/>
        <v>0</v>
      </c>
      <c r="N17" s="7">
        <v>0.0</v>
      </c>
      <c r="O17" s="7"/>
      <c r="P17" s="7">
        <f t="shared" si="3"/>
        <v>0</v>
      </c>
      <c r="Q17" s="7">
        <v>0.0</v>
      </c>
      <c r="R17" s="7"/>
      <c r="S17" s="7">
        <f t="shared" si="4"/>
        <v>0</v>
      </c>
      <c r="T17" s="7">
        <v>0.0</v>
      </c>
      <c r="U17" s="7"/>
      <c r="V17" s="7">
        <f t="shared" si="5"/>
        <v>0</v>
      </c>
      <c r="W17" s="7">
        <v>0.0</v>
      </c>
      <c r="X17" s="7"/>
      <c r="Y17" s="7">
        <f t="shared" si="6"/>
        <v>0</v>
      </c>
      <c r="Z17" s="7">
        <v>0.0</v>
      </c>
      <c r="AA17" s="7"/>
      <c r="AB17" s="7">
        <f t="shared" si="7"/>
        <v>0</v>
      </c>
      <c r="AC17" s="7">
        <v>100.0</v>
      </c>
      <c r="AD17" s="7"/>
      <c r="AE17" s="7">
        <f t="shared" si="8"/>
        <v>100</v>
      </c>
      <c r="AF17" s="10"/>
      <c r="AG17" s="10"/>
      <c r="AH17" s="10"/>
      <c r="AI17" s="10"/>
    </row>
    <row r="18" ht="30.0" customHeight="1">
      <c r="A18" s="7">
        <v>16.0</v>
      </c>
      <c r="B18" s="7">
        <v>7.951174E7</v>
      </c>
      <c r="C18" s="7">
        <v>23.0</v>
      </c>
      <c r="D18" s="7">
        <v>10.0</v>
      </c>
      <c r="E18" s="8" t="s">
        <v>51</v>
      </c>
      <c r="F18" s="9" t="s">
        <v>52</v>
      </c>
      <c r="G18" s="7" t="s">
        <v>53</v>
      </c>
      <c r="H18" s="7">
        <v>200.0</v>
      </c>
      <c r="I18" s="7">
        <v>5410.0</v>
      </c>
      <c r="J18" s="7">
        <f t="shared" si="1"/>
        <v>200</v>
      </c>
      <c r="K18" s="7">
        <v>0.0</v>
      </c>
      <c r="L18" s="7"/>
      <c r="M18" s="7">
        <f t="shared" si="2"/>
        <v>0</v>
      </c>
      <c r="N18" s="7">
        <v>0.0</v>
      </c>
      <c r="O18" s="7"/>
      <c r="P18" s="7">
        <f t="shared" si="3"/>
        <v>0</v>
      </c>
      <c r="Q18" s="7">
        <v>0.0</v>
      </c>
      <c r="R18" s="7"/>
      <c r="S18" s="7">
        <f t="shared" si="4"/>
        <v>0</v>
      </c>
      <c r="T18" s="7">
        <v>0.0</v>
      </c>
      <c r="U18" s="7"/>
      <c r="V18" s="7">
        <f t="shared" si="5"/>
        <v>0</v>
      </c>
      <c r="W18" s="7">
        <v>0.0</v>
      </c>
      <c r="X18" s="7"/>
      <c r="Y18" s="7">
        <f t="shared" si="6"/>
        <v>0</v>
      </c>
      <c r="Z18" s="7">
        <v>0.0</v>
      </c>
      <c r="AA18" s="7"/>
      <c r="AB18" s="7">
        <f t="shared" si="7"/>
        <v>0</v>
      </c>
      <c r="AC18" s="7">
        <v>200.0</v>
      </c>
      <c r="AD18" s="7"/>
      <c r="AE18" s="7">
        <f t="shared" si="8"/>
        <v>200</v>
      </c>
      <c r="AF18" s="10"/>
      <c r="AG18" s="10"/>
      <c r="AH18" s="10"/>
      <c r="AI18" s="10"/>
    </row>
    <row r="19" ht="30.0" customHeight="1">
      <c r="A19" s="7">
        <v>17.0</v>
      </c>
      <c r="B19" s="7">
        <v>7.5908712E7</v>
      </c>
      <c r="C19" s="7">
        <v>23.0</v>
      </c>
      <c r="D19" s="7">
        <v>10.0</v>
      </c>
      <c r="E19" s="8" t="s">
        <v>54</v>
      </c>
      <c r="F19" s="9" t="s">
        <v>54</v>
      </c>
      <c r="G19" s="7" t="s">
        <v>27</v>
      </c>
      <c r="H19" s="7">
        <v>1.0</v>
      </c>
      <c r="I19" s="7">
        <v>9.0</v>
      </c>
      <c r="J19" s="7">
        <f t="shared" si="1"/>
        <v>1</v>
      </c>
      <c r="K19" s="7">
        <v>0.0</v>
      </c>
      <c r="L19" s="7"/>
      <c r="M19" s="7">
        <f t="shared" si="2"/>
        <v>0</v>
      </c>
      <c r="N19" s="7">
        <v>0.0</v>
      </c>
      <c r="O19" s="7"/>
      <c r="P19" s="7">
        <f t="shared" si="3"/>
        <v>0</v>
      </c>
      <c r="Q19" s="7">
        <v>0.0</v>
      </c>
      <c r="R19" s="7"/>
      <c r="S19" s="7">
        <f t="shared" si="4"/>
        <v>0</v>
      </c>
      <c r="T19" s="7">
        <v>0.0</v>
      </c>
      <c r="U19" s="7"/>
      <c r="V19" s="7">
        <f t="shared" si="5"/>
        <v>0</v>
      </c>
      <c r="W19" s="7">
        <v>0.0</v>
      </c>
      <c r="X19" s="7"/>
      <c r="Y19" s="7">
        <f t="shared" si="6"/>
        <v>0</v>
      </c>
      <c r="Z19" s="7">
        <v>0.0</v>
      </c>
      <c r="AA19" s="7"/>
      <c r="AB19" s="7">
        <f t="shared" si="7"/>
        <v>0</v>
      </c>
      <c r="AC19" s="7">
        <v>1.0</v>
      </c>
      <c r="AD19" s="7"/>
      <c r="AE19" s="7">
        <f t="shared" si="8"/>
        <v>1</v>
      </c>
      <c r="AF19" s="10"/>
      <c r="AG19" s="10"/>
      <c r="AH19" s="10"/>
      <c r="AI19" s="10"/>
    </row>
    <row r="20" ht="30.0" customHeight="1">
      <c r="A20" s="7">
        <v>18.0</v>
      </c>
      <c r="B20" s="7">
        <v>7.5908724E7</v>
      </c>
      <c r="C20" s="7">
        <v>23.0</v>
      </c>
      <c r="D20" s="7">
        <v>10.0</v>
      </c>
      <c r="E20" s="8" t="s">
        <v>55</v>
      </c>
      <c r="F20" s="9" t="s">
        <v>55</v>
      </c>
      <c r="G20" s="7" t="s">
        <v>27</v>
      </c>
      <c r="H20" s="7">
        <v>1.0</v>
      </c>
      <c r="I20" s="7">
        <v>25.0</v>
      </c>
      <c r="J20" s="7">
        <f t="shared" si="1"/>
        <v>1</v>
      </c>
      <c r="K20" s="7">
        <v>0.0</v>
      </c>
      <c r="L20" s="7"/>
      <c r="M20" s="7">
        <f t="shared" si="2"/>
        <v>0</v>
      </c>
      <c r="N20" s="7">
        <v>0.0</v>
      </c>
      <c r="O20" s="7"/>
      <c r="P20" s="7">
        <f t="shared" si="3"/>
        <v>0</v>
      </c>
      <c r="Q20" s="7">
        <v>0.0</v>
      </c>
      <c r="R20" s="7"/>
      <c r="S20" s="7">
        <f t="shared" si="4"/>
        <v>0</v>
      </c>
      <c r="T20" s="7">
        <v>0.0</v>
      </c>
      <c r="U20" s="7"/>
      <c r="V20" s="7">
        <f t="shared" si="5"/>
        <v>0</v>
      </c>
      <c r="W20" s="7">
        <v>0.0</v>
      </c>
      <c r="X20" s="7"/>
      <c r="Y20" s="7">
        <f t="shared" si="6"/>
        <v>0</v>
      </c>
      <c r="Z20" s="7">
        <v>0.0</v>
      </c>
      <c r="AA20" s="7"/>
      <c r="AB20" s="7">
        <f t="shared" si="7"/>
        <v>0</v>
      </c>
      <c r="AC20" s="7">
        <v>1.0</v>
      </c>
      <c r="AD20" s="7"/>
      <c r="AE20" s="7">
        <f t="shared" si="8"/>
        <v>1</v>
      </c>
      <c r="AF20" s="10"/>
      <c r="AG20" s="10"/>
      <c r="AH20" s="10"/>
      <c r="AI20" s="10"/>
    </row>
    <row r="21" ht="30.0" customHeight="1">
      <c r="A21" s="7">
        <v>19.0</v>
      </c>
      <c r="B21" s="7">
        <v>7.5908736E7</v>
      </c>
      <c r="C21" s="7">
        <v>23.0</v>
      </c>
      <c r="D21" s="7">
        <v>10.0</v>
      </c>
      <c r="E21" s="8" t="s">
        <v>56</v>
      </c>
      <c r="F21" s="9" t="s">
        <v>56</v>
      </c>
      <c r="G21" s="7" t="s">
        <v>27</v>
      </c>
      <c r="H21" s="7">
        <v>1.0</v>
      </c>
      <c r="I21" s="7">
        <v>19.0</v>
      </c>
      <c r="J21" s="7">
        <f t="shared" si="1"/>
        <v>1</v>
      </c>
      <c r="K21" s="7">
        <v>0.0</v>
      </c>
      <c r="L21" s="7"/>
      <c r="M21" s="7">
        <f t="shared" si="2"/>
        <v>0</v>
      </c>
      <c r="N21" s="7">
        <v>0.0</v>
      </c>
      <c r="O21" s="7"/>
      <c r="P21" s="7">
        <f t="shared" si="3"/>
        <v>0</v>
      </c>
      <c r="Q21" s="7">
        <v>0.0</v>
      </c>
      <c r="R21" s="7"/>
      <c r="S21" s="7">
        <f t="shared" si="4"/>
        <v>0</v>
      </c>
      <c r="T21" s="7">
        <v>0.0</v>
      </c>
      <c r="U21" s="7"/>
      <c r="V21" s="7">
        <f t="shared" si="5"/>
        <v>0</v>
      </c>
      <c r="W21" s="7">
        <v>0.0</v>
      </c>
      <c r="X21" s="7"/>
      <c r="Y21" s="7">
        <f t="shared" si="6"/>
        <v>0</v>
      </c>
      <c r="Z21" s="7">
        <v>0.0</v>
      </c>
      <c r="AA21" s="7"/>
      <c r="AB21" s="7">
        <f t="shared" si="7"/>
        <v>0</v>
      </c>
      <c r="AC21" s="7">
        <v>1.0</v>
      </c>
      <c r="AD21" s="7"/>
      <c r="AE21" s="7">
        <f t="shared" si="8"/>
        <v>1</v>
      </c>
      <c r="AF21" s="10"/>
      <c r="AG21" s="10"/>
      <c r="AH21" s="10"/>
      <c r="AI21" s="10"/>
    </row>
    <row r="22" ht="30.0" customHeight="1">
      <c r="A22" s="7">
        <v>20.0</v>
      </c>
      <c r="B22" s="7">
        <v>7.5908748E7</v>
      </c>
      <c r="C22" s="7">
        <v>23.0</v>
      </c>
      <c r="D22" s="7">
        <v>10.0</v>
      </c>
      <c r="E22" s="8" t="s">
        <v>57</v>
      </c>
      <c r="F22" s="9" t="s">
        <v>57</v>
      </c>
      <c r="G22" s="7" t="s">
        <v>27</v>
      </c>
      <c r="H22" s="7">
        <v>1.0</v>
      </c>
      <c r="I22" s="7">
        <v>40.0</v>
      </c>
      <c r="J22" s="7">
        <f t="shared" si="1"/>
        <v>1</v>
      </c>
      <c r="K22" s="7">
        <v>0.0</v>
      </c>
      <c r="L22" s="7"/>
      <c r="M22" s="7">
        <f t="shared" si="2"/>
        <v>0</v>
      </c>
      <c r="N22" s="7">
        <v>0.0</v>
      </c>
      <c r="O22" s="7"/>
      <c r="P22" s="7">
        <f t="shared" si="3"/>
        <v>0</v>
      </c>
      <c r="Q22" s="7">
        <v>0.0</v>
      </c>
      <c r="R22" s="7"/>
      <c r="S22" s="7">
        <f t="shared" si="4"/>
        <v>0</v>
      </c>
      <c r="T22" s="7">
        <v>0.0</v>
      </c>
      <c r="U22" s="7"/>
      <c r="V22" s="7">
        <f t="shared" si="5"/>
        <v>0</v>
      </c>
      <c r="W22" s="7">
        <v>0.0</v>
      </c>
      <c r="X22" s="7"/>
      <c r="Y22" s="7">
        <f t="shared" si="6"/>
        <v>0</v>
      </c>
      <c r="Z22" s="7">
        <v>0.0</v>
      </c>
      <c r="AA22" s="7"/>
      <c r="AB22" s="7">
        <f t="shared" si="7"/>
        <v>0</v>
      </c>
      <c r="AC22" s="7">
        <v>1.0</v>
      </c>
      <c r="AD22" s="7"/>
      <c r="AE22" s="7">
        <f t="shared" si="8"/>
        <v>1</v>
      </c>
      <c r="AF22" s="10"/>
      <c r="AG22" s="10"/>
      <c r="AH22" s="10"/>
      <c r="AI22" s="10"/>
    </row>
    <row r="23" ht="30.0" customHeight="1">
      <c r="A23" s="7">
        <v>21.0</v>
      </c>
      <c r="B23" s="7">
        <v>7.5908931E7</v>
      </c>
      <c r="C23" s="7">
        <v>23.0</v>
      </c>
      <c r="D23" s="7">
        <v>10.0</v>
      </c>
      <c r="E23" s="8" t="s">
        <v>58</v>
      </c>
      <c r="F23" s="9" t="s">
        <v>58</v>
      </c>
      <c r="G23" s="7" t="s">
        <v>27</v>
      </c>
      <c r="H23" s="7">
        <v>1.0</v>
      </c>
      <c r="I23" s="7">
        <v>59.0</v>
      </c>
      <c r="J23" s="7">
        <f t="shared" si="1"/>
        <v>1</v>
      </c>
      <c r="K23" s="7">
        <v>0.0</v>
      </c>
      <c r="L23" s="7"/>
      <c r="M23" s="7">
        <f t="shared" si="2"/>
        <v>0</v>
      </c>
      <c r="N23" s="7">
        <v>0.0</v>
      </c>
      <c r="O23" s="7"/>
      <c r="P23" s="7">
        <f t="shared" si="3"/>
        <v>0</v>
      </c>
      <c r="Q23" s="7">
        <v>0.0</v>
      </c>
      <c r="R23" s="7"/>
      <c r="S23" s="7">
        <f t="shared" si="4"/>
        <v>0</v>
      </c>
      <c r="T23" s="7">
        <v>0.0</v>
      </c>
      <c r="U23" s="7"/>
      <c r="V23" s="7">
        <f t="shared" si="5"/>
        <v>0</v>
      </c>
      <c r="W23" s="7">
        <v>0.0</v>
      </c>
      <c r="X23" s="7"/>
      <c r="Y23" s="7">
        <f t="shared" si="6"/>
        <v>0</v>
      </c>
      <c r="Z23" s="7">
        <v>0.0</v>
      </c>
      <c r="AA23" s="7"/>
      <c r="AB23" s="7">
        <f t="shared" si="7"/>
        <v>0</v>
      </c>
      <c r="AC23" s="7">
        <v>1.0</v>
      </c>
      <c r="AD23" s="7"/>
      <c r="AE23" s="7">
        <f t="shared" si="8"/>
        <v>1</v>
      </c>
      <c r="AF23" s="10"/>
      <c r="AG23" s="10"/>
      <c r="AH23" s="10"/>
      <c r="AI23" s="10"/>
    </row>
    <row r="24" ht="30.0" customHeight="1">
      <c r="A24" s="7">
        <v>22.0</v>
      </c>
      <c r="B24" s="7">
        <v>7.5908943E7</v>
      </c>
      <c r="C24" s="7">
        <v>23.0</v>
      </c>
      <c r="D24" s="7">
        <v>10.0</v>
      </c>
      <c r="E24" s="8" t="s">
        <v>59</v>
      </c>
      <c r="F24" s="9" t="s">
        <v>59</v>
      </c>
      <c r="G24" s="7" t="s">
        <v>27</v>
      </c>
      <c r="H24" s="7">
        <v>1.0</v>
      </c>
      <c r="I24" s="7">
        <v>146.0</v>
      </c>
      <c r="J24" s="7">
        <f t="shared" si="1"/>
        <v>1</v>
      </c>
      <c r="K24" s="7">
        <v>0.0</v>
      </c>
      <c r="L24" s="7"/>
      <c r="M24" s="7">
        <f t="shared" si="2"/>
        <v>0</v>
      </c>
      <c r="N24" s="7">
        <v>0.0</v>
      </c>
      <c r="O24" s="7"/>
      <c r="P24" s="7">
        <f t="shared" si="3"/>
        <v>0</v>
      </c>
      <c r="Q24" s="7">
        <v>0.0</v>
      </c>
      <c r="R24" s="7"/>
      <c r="S24" s="7">
        <f t="shared" si="4"/>
        <v>0</v>
      </c>
      <c r="T24" s="7">
        <v>0.0</v>
      </c>
      <c r="U24" s="7"/>
      <c r="V24" s="7">
        <f t="shared" si="5"/>
        <v>0</v>
      </c>
      <c r="W24" s="7">
        <v>0.0</v>
      </c>
      <c r="X24" s="7"/>
      <c r="Y24" s="7">
        <f t="shared" si="6"/>
        <v>0</v>
      </c>
      <c r="Z24" s="7">
        <v>0.0</v>
      </c>
      <c r="AA24" s="7"/>
      <c r="AB24" s="7">
        <f t="shared" si="7"/>
        <v>0</v>
      </c>
      <c r="AC24" s="7">
        <v>1.0</v>
      </c>
      <c r="AD24" s="7"/>
      <c r="AE24" s="7">
        <f t="shared" si="8"/>
        <v>1</v>
      </c>
      <c r="AF24" s="10"/>
      <c r="AG24" s="10"/>
      <c r="AH24" s="10"/>
      <c r="AI24" s="10"/>
    </row>
    <row r="25" ht="30.0" customHeight="1">
      <c r="A25" s="7">
        <v>23.0</v>
      </c>
      <c r="B25" s="7">
        <v>7.5908955E7</v>
      </c>
      <c r="C25" s="7">
        <v>23.0</v>
      </c>
      <c r="D25" s="7">
        <v>10.0</v>
      </c>
      <c r="E25" s="8" t="s">
        <v>60</v>
      </c>
      <c r="F25" s="9" t="s">
        <v>60</v>
      </c>
      <c r="G25" s="7" t="s">
        <v>27</v>
      </c>
      <c r="H25" s="7">
        <v>1.0</v>
      </c>
      <c r="I25" s="7">
        <v>167.0</v>
      </c>
      <c r="J25" s="7">
        <f t="shared" si="1"/>
        <v>1</v>
      </c>
      <c r="K25" s="7">
        <v>0.0</v>
      </c>
      <c r="L25" s="7"/>
      <c r="M25" s="7">
        <f t="shared" si="2"/>
        <v>0</v>
      </c>
      <c r="N25" s="7">
        <v>0.0</v>
      </c>
      <c r="O25" s="7"/>
      <c r="P25" s="7">
        <f t="shared" si="3"/>
        <v>0</v>
      </c>
      <c r="Q25" s="7">
        <v>0.0</v>
      </c>
      <c r="R25" s="7"/>
      <c r="S25" s="7">
        <f t="shared" si="4"/>
        <v>0</v>
      </c>
      <c r="T25" s="7">
        <v>0.0</v>
      </c>
      <c r="U25" s="7"/>
      <c r="V25" s="7">
        <f t="shared" si="5"/>
        <v>0</v>
      </c>
      <c r="W25" s="7">
        <v>0.0</v>
      </c>
      <c r="X25" s="7"/>
      <c r="Y25" s="7">
        <f t="shared" si="6"/>
        <v>0</v>
      </c>
      <c r="Z25" s="7">
        <v>0.0</v>
      </c>
      <c r="AA25" s="7"/>
      <c r="AB25" s="7">
        <f t="shared" si="7"/>
        <v>0</v>
      </c>
      <c r="AC25" s="7">
        <v>1.0</v>
      </c>
      <c r="AD25" s="7"/>
      <c r="AE25" s="7">
        <f t="shared" si="8"/>
        <v>1</v>
      </c>
      <c r="AF25" s="10"/>
      <c r="AG25" s="10"/>
      <c r="AH25" s="10"/>
      <c r="AI25" s="10"/>
    </row>
    <row r="26" ht="30.0" customHeight="1">
      <c r="A26" s="7">
        <v>24.0</v>
      </c>
      <c r="B26" s="7">
        <v>7.5908852E7</v>
      </c>
      <c r="C26" s="7">
        <v>23.0</v>
      </c>
      <c r="D26" s="7">
        <v>10.0</v>
      </c>
      <c r="E26" s="8" t="s">
        <v>61</v>
      </c>
      <c r="F26" s="9" t="s">
        <v>61</v>
      </c>
      <c r="G26" s="7" t="s">
        <v>27</v>
      </c>
      <c r="H26" s="7">
        <v>1.0</v>
      </c>
      <c r="I26" s="7">
        <v>67.0</v>
      </c>
      <c r="J26" s="7">
        <f t="shared" si="1"/>
        <v>1</v>
      </c>
      <c r="K26" s="7">
        <v>0.0</v>
      </c>
      <c r="L26" s="7"/>
      <c r="M26" s="7">
        <f t="shared" si="2"/>
        <v>0</v>
      </c>
      <c r="N26" s="7">
        <v>0.0</v>
      </c>
      <c r="O26" s="7"/>
      <c r="P26" s="7">
        <f t="shared" si="3"/>
        <v>0</v>
      </c>
      <c r="Q26" s="7">
        <v>0.0</v>
      </c>
      <c r="R26" s="7"/>
      <c r="S26" s="7">
        <f t="shared" si="4"/>
        <v>0</v>
      </c>
      <c r="T26" s="7">
        <v>0.0</v>
      </c>
      <c r="U26" s="7"/>
      <c r="V26" s="7">
        <f t="shared" si="5"/>
        <v>0</v>
      </c>
      <c r="W26" s="7">
        <v>0.0</v>
      </c>
      <c r="X26" s="7"/>
      <c r="Y26" s="7">
        <f t="shared" si="6"/>
        <v>0</v>
      </c>
      <c r="Z26" s="7">
        <v>0.0</v>
      </c>
      <c r="AA26" s="7"/>
      <c r="AB26" s="7">
        <f t="shared" si="7"/>
        <v>0</v>
      </c>
      <c r="AC26" s="7">
        <v>1.0</v>
      </c>
      <c r="AD26" s="7"/>
      <c r="AE26" s="7">
        <f t="shared" si="8"/>
        <v>1</v>
      </c>
      <c r="AF26" s="10"/>
      <c r="AG26" s="10"/>
      <c r="AH26" s="10"/>
      <c r="AI26" s="10"/>
    </row>
    <row r="27" ht="30.0" customHeight="1">
      <c r="A27" s="7">
        <v>25.0</v>
      </c>
      <c r="B27" s="7">
        <v>7.5908864E7</v>
      </c>
      <c r="C27" s="7">
        <v>23.0</v>
      </c>
      <c r="D27" s="7">
        <v>10.0</v>
      </c>
      <c r="E27" s="8" t="s">
        <v>62</v>
      </c>
      <c r="F27" s="9" t="s">
        <v>62</v>
      </c>
      <c r="G27" s="7" t="s">
        <v>27</v>
      </c>
      <c r="H27" s="7">
        <v>1.0</v>
      </c>
      <c r="I27" s="7">
        <v>1.0</v>
      </c>
      <c r="J27" s="7">
        <f t="shared" si="1"/>
        <v>1</v>
      </c>
      <c r="K27" s="7">
        <v>0.0</v>
      </c>
      <c r="L27" s="7"/>
      <c r="M27" s="7">
        <f t="shared" si="2"/>
        <v>0</v>
      </c>
      <c r="N27" s="7">
        <v>0.0</v>
      </c>
      <c r="O27" s="7"/>
      <c r="P27" s="7">
        <f t="shared" si="3"/>
        <v>0</v>
      </c>
      <c r="Q27" s="7">
        <v>0.0</v>
      </c>
      <c r="R27" s="7"/>
      <c r="S27" s="7">
        <f t="shared" si="4"/>
        <v>0</v>
      </c>
      <c r="T27" s="7">
        <v>0.0</v>
      </c>
      <c r="U27" s="7"/>
      <c r="V27" s="7">
        <f t="shared" si="5"/>
        <v>0</v>
      </c>
      <c r="W27" s="7">
        <v>0.0</v>
      </c>
      <c r="X27" s="7"/>
      <c r="Y27" s="7">
        <f t="shared" si="6"/>
        <v>0</v>
      </c>
      <c r="Z27" s="7">
        <v>0.0</v>
      </c>
      <c r="AA27" s="7"/>
      <c r="AB27" s="7">
        <f t="shared" si="7"/>
        <v>0</v>
      </c>
      <c r="AC27" s="7">
        <v>1.0</v>
      </c>
      <c r="AD27" s="7"/>
      <c r="AE27" s="7">
        <f t="shared" si="8"/>
        <v>1</v>
      </c>
      <c r="AF27" s="10"/>
      <c r="AG27" s="10"/>
      <c r="AH27" s="10"/>
      <c r="AI27" s="10"/>
    </row>
    <row r="28" ht="30.0" customHeight="1">
      <c r="A28" s="7">
        <v>26.0</v>
      </c>
      <c r="B28" s="7">
        <v>7.9510139E7</v>
      </c>
      <c r="C28" s="7">
        <v>23.0</v>
      </c>
      <c r="D28" s="7">
        <v>10.0</v>
      </c>
      <c r="E28" s="8" t="s">
        <v>63</v>
      </c>
      <c r="F28" s="9" t="s">
        <v>63</v>
      </c>
      <c r="G28" s="7" t="s">
        <v>27</v>
      </c>
      <c r="H28" s="7">
        <v>80.0</v>
      </c>
      <c r="I28" s="7">
        <v>7.0</v>
      </c>
      <c r="J28" s="7">
        <f t="shared" si="1"/>
        <v>80</v>
      </c>
      <c r="K28" s="7">
        <v>0.0</v>
      </c>
      <c r="L28" s="7"/>
      <c r="M28" s="7">
        <f t="shared" si="2"/>
        <v>0</v>
      </c>
      <c r="N28" s="7">
        <v>0.0</v>
      </c>
      <c r="O28" s="7"/>
      <c r="P28" s="7">
        <f t="shared" si="3"/>
        <v>0</v>
      </c>
      <c r="Q28" s="7">
        <v>0.0</v>
      </c>
      <c r="R28" s="7"/>
      <c r="S28" s="7">
        <f t="shared" si="4"/>
        <v>0</v>
      </c>
      <c r="T28" s="7">
        <v>0.0</v>
      </c>
      <c r="U28" s="7"/>
      <c r="V28" s="7">
        <f t="shared" si="5"/>
        <v>0</v>
      </c>
      <c r="W28" s="7">
        <v>0.0</v>
      </c>
      <c r="X28" s="7"/>
      <c r="Y28" s="7">
        <f t="shared" si="6"/>
        <v>0</v>
      </c>
      <c r="Z28" s="7">
        <v>0.0</v>
      </c>
      <c r="AA28" s="7"/>
      <c r="AB28" s="7">
        <f t="shared" si="7"/>
        <v>0</v>
      </c>
      <c r="AC28" s="7">
        <v>80.0</v>
      </c>
      <c r="AD28" s="7"/>
      <c r="AE28" s="7">
        <f t="shared" si="8"/>
        <v>80</v>
      </c>
      <c r="AF28" s="10"/>
      <c r="AG28" s="10"/>
      <c r="AH28" s="10"/>
      <c r="AI28" s="10"/>
    </row>
    <row r="29" ht="30.0" customHeight="1">
      <c r="A29" s="7">
        <v>27.0</v>
      </c>
      <c r="B29" s="7">
        <v>8.304767E7</v>
      </c>
      <c r="C29" s="7">
        <v>23.0</v>
      </c>
      <c r="D29" s="7">
        <v>10.0</v>
      </c>
      <c r="E29" s="8" t="s">
        <v>64</v>
      </c>
      <c r="F29" s="9" t="s">
        <v>65</v>
      </c>
      <c r="G29" s="7" t="s">
        <v>66</v>
      </c>
      <c r="H29" s="7">
        <v>50.0</v>
      </c>
      <c r="I29" s="7">
        <v>49.0</v>
      </c>
      <c r="J29" s="7">
        <f t="shared" si="1"/>
        <v>50</v>
      </c>
      <c r="K29" s="7">
        <v>0.0</v>
      </c>
      <c r="L29" s="7"/>
      <c r="M29" s="7">
        <f t="shared" si="2"/>
        <v>0</v>
      </c>
      <c r="N29" s="7">
        <v>0.0</v>
      </c>
      <c r="O29" s="7"/>
      <c r="P29" s="7">
        <f t="shared" si="3"/>
        <v>0</v>
      </c>
      <c r="Q29" s="7">
        <v>0.0</v>
      </c>
      <c r="R29" s="7"/>
      <c r="S29" s="7">
        <f t="shared" si="4"/>
        <v>0</v>
      </c>
      <c r="T29" s="7">
        <v>0.0</v>
      </c>
      <c r="U29" s="7"/>
      <c r="V29" s="7">
        <f t="shared" si="5"/>
        <v>0</v>
      </c>
      <c r="W29" s="7">
        <v>0.0</v>
      </c>
      <c r="X29" s="7"/>
      <c r="Y29" s="7">
        <f t="shared" si="6"/>
        <v>0</v>
      </c>
      <c r="Z29" s="7">
        <v>0.0</v>
      </c>
      <c r="AA29" s="7"/>
      <c r="AB29" s="7">
        <f t="shared" si="7"/>
        <v>0</v>
      </c>
      <c r="AC29" s="7">
        <v>50.0</v>
      </c>
      <c r="AD29" s="7"/>
      <c r="AE29" s="7">
        <f t="shared" si="8"/>
        <v>50</v>
      </c>
      <c r="AF29" s="10"/>
      <c r="AG29" s="10"/>
      <c r="AH29" s="10"/>
      <c r="AI29" s="10"/>
    </row>
    <row r="30" ht="30.0" customHeight="1">
      <c r="A30" s="7">
        <v>28.0</v>
      </c>
      <c r="B30" s="7">
        <v>8.3047839E7</v>
      </c>
      <c r="C30" s="7">
        <v>23.0</v>
      </c>
      <c r="D30" s="7">
        <v>10.0</v>
      </c>
      <c r="E30" s="8" t="s">
        <v>67</v>
      </c>
      <c r="F30" s="9" t="s">
        <v>68</v>
      </c>
      <c r="G30" s="7" t="s">
        <v>66</v>
      </c>
      <c r="H30" s="7">
        <v>50.0</v>
      </c>
      <c r="I30" s="7">
        <v>74.0</v>
      </c>
      <c r="J30" s="7">
        <f t="shared" si="1"/>
        <v>50</v>
      </c>
      <c r="K30" s="7">
        <v>0.0</v>
      </c>
      <c r="L30" s="7"/>
      <c r="M30" s="7">
        <f t="shared" si="2"/>
        <v>0</v>
      </c>
      <c r="N30" s="7">
        <v>0.0</v>
      </c>
      <c r="O30" s="7"/>
      <c r="P30" s="7">
        <f t="shared" si="3"/>
        <v>0</v>
      </c>
      <c r="Q30" s="7">
        <v>0.0</v>
      </c>
      <c r="R30" s="7"/>
      <c r="S30" s="7">
        <f t="shared" si="4"/>
        <v>0</v>
      </c>
      <c r="T30" s="7">
        <v>0.0</v>
      </c>
      <c r="U30" s="7"/>
      <c r="V30" s="7">
        <f t="shared" si="5"/>
        <v>0</v>
      </c>
      <c r="W30" s="7">
        <v>0.0</v>
      </c>
      <c r="X30" s="7"/>
      <c r="Y30" s="7">
        <f t="shared" si="6"/>
        <v>0</v>
      </c>
      <c r="Z30" s="7">
        <v>0.0</v>
      </c>
      <c r="AA30" s="7"/>
      <c r="AB30" s="7">
        <f t="shared" si="7"/>
        <v>0</v>
      </c>
      <c r="AC30" s="7">
        <v>50.0</v>
      </c>
      <c r="AD30" s="7"/>
      <c r="AE30" s="7">
        <f t="shared" si="8"/>
        <v>50</v>
      </c>
      <c r="AF30" s="10"/>
      <c r="AG30" s="10"/>
      <c r="AH30" s="10"/>
      <c r="AI30" s="10"/>
    </row>
    <row r="31" ht="30.0" customHeight="1">
      <c r="A31" s="7">
        <v>29.0</v>
      </c>
      <c r="B31" s="7">
        <v>8.304784E7</v>
      </c>
      <c r="C31" s="7">
        <v>23.0</v>
      </c>
      <c r="D31" s="7">
        <v>10.0</v>
      </c>
      <c r="E31" s="8" t="s">
        <v>69</v>
      </c>
      <c r="F31" s="9" t="s">
        <v>70</v>
      </c>
      <c r="G31" s="7" t="s">
        <v>66</v>
      </c>
      <c r="H31" s="7">
        <v>50.0</v>
      </c>
      <c r="I31" s="11">
        <v>0.0</v>
      </c>
      <c r="J31" s="7">
        <f t="shared" si="1"/>
        <v>50</v>
      </c>
      <c r="K31" s="7">
        <v>0.0</v>
      </c>
      <c r="L31" s="7"/>
      <c r="M31" s="7">
        <f t="shared" si="2"/>
        <v>0</v>
      </c>
      <c r="N31" s="7">
        <v>0.0</v>
      </c>
      <c r="O31" s="7"/>
      <c r="P31" s="7">
        <f t="shared" si="3"/>
        <v>0</v>
      </c>
      <c r="Q31" s="7">
        <v>0.0</v>
      </c>
      <c r="R31" s="7"/>
      <c r="S31" s="7">
        <f t="shared" si="4"/>
        <v>0</v>
      </c>
      <c r="T31" s="7">
        <v>0.0</v>
      </c>
      <c r="U31" s="7"/>
      <c r="V31" s="7">
        <f t="shared" si="5"/>
        <v>0</v>
      </c>
      <c r="W31" s="7">
        <v>0.0</v>
      </c>
      <c r="X31" s="7"/>
      <c r="Y31" s="7">
        <f t="shared" si="6"/>
        <v>0</v>
      </c>
      <c r="Z31" s="7">
        <v>0.0</v>
      </c>
      <c r="AA31" s="7"/>
      <c r="AB31" s="7">
        <f t="shared" si="7"/>
        <v>0</v>
      </c>
      <c r="AC31" s="7">
        <v>50.0</v>
      </c>
      <c r="AD31" s="7"/>
      <c r="AE31" s="7">
        <f t="shared" si="8"/>
        <v>50</v>
      </c>
      <c r="AF31" s="10"/>
      <c r="AG31" s="10"/>
      <c r="AH31" s="10"/>
      <c r="AI31" s="10"/>
    </row>
    <row r="32" ht="30.0" customHeight="1">
      <c r="A32" s="7">
        <v>30.0</v>
      </c>
      <c r="B32" s="7">
        <v>8.30494E7</v>
      </c>
      <c r="C32" s="7">
        <v>23.0</v>
      </c>
      <c r="D32" s="7">
        <v>10.0</v>
      </c>
      <c r="E32" s="8" t="s">
        <v>71</v>
      </c>
      <c r="F32" s="9" t="s">
        <v>72</v>
      </c>
      <c r="G32" s="7" t="s">
        <v>66</v>
      </c>
      <c r="H32" s="7">
        <v>50.0</v>
      </c>
      <c r="I32" s="7">
        <v>1022.0</v>
      </c>
      <c r="J32" s="7">
        <f t="shared" si="1"/>
        <v>50</v>
      </c>
      <c r="K32" s="7">
        <v>0.0</v>
      </c>
      <c r="L32" s="7"/>
      <c r="M32" s="7">
        <f t="shared" si="2"/>
        <v>0</v>
      </c>
      <c r="N32" s="7">
        <v>0.0</v>
      </c>
      <c r="O32" s="7"/>
      <c r="P32" s="7">
        <f t="shared" si="3"/>
        <v>0</v>
      </c>
      <c r="Q32" s="7">
        <v>0.0</v>
      </c>
      <c r="R32" s="7"/>
      <c r="S32" s="7">
        <f t="shared" si="4"/>
        <v>0</v>
      </c>
      <c r="T32" s="7">
        <v>0.0</v>
      </c>
      <c r="U32" s="7"/>
      <c r="V32" s="7">
        <f t="shared" si="5"/>
        <v>0</v>
      </c>
      <c r="W32" s="7">
        <v>0.0</v>
      </c>
      <c r="X32" s="7"/>
      <c r="Y32" s="7">
        <f t="shared" si="6"/>
        <v>0</v>
      </c>
      <c r="Z32" s="7">
        <v>0.0</v>
      </c>
      <c r="AA32" s="7"/>
      <c r="AB32" s="7">
        <f t="shared" si="7"/>
        <v>0</v>
      </c>
      <c r="AC32" s="7">
        <v>50.0</v>
      </c>
      <c r="AD32" s="7"/>
      <c r="AE32" s="7">
        <f t="shared" si="8"/>
        <v>50</v>
      </c>
      <c r="AF32" s="7">
        <v>2989.0</v>
      </c>
      <c r="AG32" s="7">
        <v>2666.0</v>
      </c>
      <c r="AH32" s="7">
        <v>3262.0</v>
      </c>
      <c r="AI32" s="7">
        <v>70.0</v>
      </c>
    </row>
    <row r="33" ht="30.0" customHeight="1">
      <c r="A33" s="7">
        <v>31.0</v>
      </c>
      <c r="B33" s="7">
        <v>8.3055587E7</v>
      </c>
      <c r="C33" s="7">
        <v>23.0</v>
      </c>
      <c r="D33" s="7">
        <v>10.0</v>
      </c>
      <c r="E33" s="8" t="s">
        <v>73</v>
      </c>
      <c r="F33" s="9" t="s">
        <v>74</v>
      </c>
      <c r="G33" s="7" t="s">
        <v>27</v>
      </c>
      <c r="H33" s="7">
        <v>50.0</v>
      </c>
      <c r="I33" s="7">
        <v>183.0</v>
      </c>
      <c r="J33" s="7">
        <f t="shared" si="1"/>
        <v>50</v>
      </c>
      <c r="K33" s="7">
        <v>0.0</v>
      </c>
      <c r="L33" s="7"/>
      <c r="M33" s="7">
        <f t="shared" si="2"/>
        <v>0</v>
      </c>
      <c r="N33" s="7">
        <v>0.0</v>
      </c>
      <c r="O33" s="7"/>
      <c r="P33" s="7">
        <f t="shared" si="3"/>
        <v>0</v>
      </c>
      <c r="Q33" s="7">
        <v>0.0</v>
      </c>
      <c r="R33" s="7"/>
      <c r="S33" s="7">
        <f t="shared" si="4"/>
        <v>0</v>
      </c>
      <c r="T33" s="7">
        <v>0.0</v>
      </c>
      <c r="U33" s="7"/>
      <c r="V33" s="7">
        <f t="shared" si="5"/>
        <v>0</v>
      </c>
      <c r="W33" s="7">
        <v>0.0</v>
      </c>
      <c r="X33" s="7"/>
      <c r="Y33" s="7">
        <f t="shared" si="6"/>
        <v>0</v>
      </c>
      <c r="Z33" s="7">
        <v>0.0</v>
      </c>
      <c r="AA33" s="7"/>
      <c r="AB33" s="7">
        <f t="shared" si="7"/>
        <v>0</v>
      </c>
      <c r="AC33" s="7">
        <v>50.0</v>
      </c>
      <c r="AD33" s="7"/>
      <c r="AE33" s="7">
        <f t="shared" si="8"/>
        <v>50</v>
      </c>
      <c r="AF33" s="10"/>
      <c r="AG33" s="10"/>
      <c r="AH33" s="10"/>
      <c r="AI33" s="10"/>
    </row>
    <row r="34" ht="30.0" customHeight="1">
      <c r="A34" s="7">
        <v>32.0</v>
      </c>
      <c r="B34" s="7">
        <v>8.3055575E7</v>
      </c>
      <c r="C34" s="7">
        <v>23.0</v>
      </c>
      <c r="D34" s="7">
        <v>10.0</v>
      </c>
      <c r="E34" s="8" t="s">
        <v>75</v>
      </c>
      <c r="F34" s="9" t="s">
        <v>76</v>
      </c>
      <c r="G34" s="7" t="s">
        <v>27</v>
      </c>
      <c r="H34" s="7">
        <v>50.0</v>
      </c>
      <c r="I34" s="7">
        <v>726.0</v>
      </c>
      <c r="J34" s="7">
        <f t="shared" si="1"/>
        <v>50</v>
      </c>
      <c r="K34" s="7">
        <v>0.0</v>
      </c>
      <c r="L34" s="7"/>
      <c r="M34" s="7">
        <f t="shared" si="2"/>
        <v>0</v>
      </c>
      <c r="N34" s="7">
        <v>0.0</v>
      </c>
      <c r="O34" s="7"/>
      <c r="P34" s="7">
        <f t="shared" si="3"/>
        <v>0</v>
      </c>
      <c r="Q34" s="7">
        <v>0.0</v>
      </c>
      <c r="R34" s="7"/>
      <c r="S34" s="7">
        <f t="shared" si="4"/>
        <v>0</v>
      </c>
      <c r="T34" s="7">
        <v>0.0</v>
      </c>
      <c r="U34" s="7"/>
      <c r="V34" s="7">
        <f t="shared" si="5"/>
        <v>0</v>
      </c>
      <c r="W34" s="7">
        <v>0.0</v>
      </c>
      <c r="X34" s="7"/>
      <c r="Y34" s="7">
        <f t="shared" si="6"/>
        <v>0</v>
      </c>
      <c r="Z34" s="7">
        <v>0.0</v>
      </c>
      <c r="AA34" s="7"/>
      <c r="AB34" s="7">
        <f t="shared" si="7"/>
        <v>0</v>
      </c>
      <c r="AC34" s="7">
        <v>50.0</v>
      </c>
      <c r="AD34" s="7"/>
      <c r="AE34" s="7">
        <f t="shared" si="8"/>
        <v>50</v>
      </c>
      <c r="AF34" s="10"/>
      <c r="AG34" s="10"/>
      <c r="AH34" s="10"/>
      <c r="AI34" s="10"/>
    </row>
    <row r="35" ht="30.0" customHeight="1">
      <c r="A35" s="7">
        <v>33.0</v>
      </c>
      <c r="B35" s="7">
        <v>8.3055551E7</v>
      </c>
      <c r="C35" s="7">
        <v>23.0</v>
      </c>
      <c r="D35" s="7">
        <v>10.0</v>
      </c>
      <c r="E35" s="8" t="s">
        <v>77</v>
      </c>
      <c r="F35" s="9" t="s">
        <v>78</v>
      </c>
      <c r="G35" s="7" t="s">
        <v>27</v>
      </c>
      <c r="H35" s="7">
        <v>50.0</v>
      </c>
      <c r="I35" s="7">
        <v>599.0</v>
      </c>
      <c r="J35" s="7">
        <f t="shared" si="1"/>
        <v>50</v>
      </c>
      <c r="K35" s="7">
        <v>0.0</v>
      </c>
      <c r="L35" s="7"/>
      <c r="M35" s="7">
        <f t="shared" si="2"/>
        <v>0</v>
      </c>
      <c r="N35" s="7">
        <v>0.0</v>
      </c>
      <c r="O35" s="7"/>
      <c r="P35" s="7">
        <f t="shared" si="3"/>
        <v>0</v>
      </c>
      <c r="Q35" s="7">
        <v>0.0</v>
      </c>
      <c r="R35" s="7"/>
      <c r="S35" s="7">
        <f t="shared" si="4"/>
        <v>0</v>
      </c>
      <c r="T35" s="7">
        <v>0.0</v>
      </c>
      <c r="U35" s="7"/>
      <c r="V35" s="7">
        <f t="shared" si="5"/>
        <v>0</v>
      </c>
      <c r="W35" s="7">
        <v>0.0</v>
      </c>
      <c r="X35" s="7"/>
      <c r="Y35" s="7">
        <f t="shared" si="6"/>
        <v>0</v>
      </c>
      <c r="Z35" s="7">
        <v>0.0</v>
      </c>
      <c r="AA35" s="7"/>
      <c r="AB35" s="7">
        <f t="shared" si="7"/>
        <v>0</v>
      </c>
      <c r="AC35" s="7">
        <v>50.0</v>
      </c>
      <c r="AD35" s="7"/>
      <c r="AE35" s="7">
        <f t="shared" si="8"/>
        <v>50</v>
      </c>
      <c r="AF35" s="10"/>
      <c r="AG35" s="10"/>
      <c r="AH35" s="10"/>
      <c r="AI35" s="10"/>
    </row>
    <row r="36" ht="30.0" customHeight="1">
      <c r="A36" s="7">
        <v>34.0</v>
      </c>
      <c r="B36" s="7">
        <v>8.3057262E7</v>
      </c>
      <c r="C36" s="7">
        <v>23.0</v>
      </c>
      <c r="D36" s="7">
        <v>10.0</v>
      </c>
      <c r="E36" s="8" t="s">
        <v>79</v>
      </c>
      <c r="F36" s="9" t="s">
        <v>80</v>
      </c>
      <c r="G36" s="7" t="s">
        <v>27</v>
      </c>
      <c r="H36" s="7">
        <v>50.0</v>
      </c>
      <c r="I36" s="7">
        <v>6535.0</v>
      </c>
      <c r="J36" s="7">
        <f t="shared" si="1"/>
        <v>50</v>
      </c>
      <c r="K36" s="7">
        <v>0.0</v>
      </c>
      <c r="L36" s="7"/>
      <c r="M36" s="7">
        <f t="shared" si="2"/>
        <v>0</v>
      </c>
      <c r="N36" s="7">
        <v>0.0</v>
      </c>
      <c r="O36" s="7"/>
      <c r="P36" s="7">
        <f t="shared" si="3"/>
        <v>0</v>
      </c>
      <c r="Q36" s="7">
        <v>0.0</v>
      </c>
      <c r="R36" s="7"/>
      <c r="S36" s="7">
        <f t="shared" si="4"/>
        <v>0</v>
      </c>
      <c r="T36" s="7">
        <v>0.0</v>
      </c>
      <c r="U36" s="7"/>
      <c r="V36" s="7">
        <f t="shared" si="5"/>
        <v>0</v>
      </c>
      <c r="W36" s="7">
        <v>0.0</v>
      </c>
      <c r="X36" s="7"/>
      <c r="Y36" s="7">
        <f t="shared" si="6"/>
        <v>0</v>
      </c>
      <c r="Z36" s="7">
        <v>0.0</v>
      </c>
      <c r="AA36" s="7"/>
      <c r="AB36" s="7">
        <f t="shared" si="7"/>
        <v>0</v>
      </c>
      <c r="AC36" s="7">
        <v>50.0</v>
      </c>
      <c r="AD36" s="7"/>
      <c r="AE36" s="7">
        <f t="shared" si="8"/>
        <v>50</v>
      </c>
      <c r="AF36" s="10"/>
      <c r="AG36" s="10"/>
      <c r="AH36" s="10"/>
      <c r="AI36" s="10"/>
    </row>
    <row r="37" ht="30.0" customHeight="1">
      <c r="A37" s="7">
        <v>35.0</v>
      </c>
      <c r="B37" s="7">
        <v>8.3057249E7</v>
      </c>
      <c r="C37" s="7">
        <v>23.0</v>
      </c>
      <c r="D37" s="7">
        <v>10.0</v>
      </c>
      <c r="E37" s="8" t="s">
        <v>81</v>
      </c>
      <c r="F37" s="9" t="s">
        <v>82</v>
      </c>
      <c r="G37" s="7" t="s">
        <v>27</v>
      </c>
      <c r="H37" s="7">
        <v>50.0</v>
      </c>
      <c r="I37" s="7">
        <v>4152.0</v>
      </c>
      <c r="J37" s="7">
        <f t="shared" si="1"/>
        <v>50</v>
      </c>
      <c r="K37" s="7">
        <v>0.0</v>
      </c>
      <c r="L37" s="7"/>
      <c r="M37" s="7">
        <f t="shared" si="2"/>
        <v>0</v>
      </c>
      <c r="N37" s="7">
        <v>0.0</v>
      </c>
      <c r="O37" s="7"/>
      <c r="P37" s="7">
        <f t="shared" si="3"/>
        <v>0</v>
      </c>
      <c r="Q37" s="7">
        <v>0.0</v>
      </c>
      <c r="R37" s="7"/>
      <c r="S37" s="7">
        <f t="shared" si="4"/>
        <v>0</v>
      </c>
      <c r="T37" s="7">
        <v>0.0</v>
      </c>
      <c r="U37" s="7"/>
      <c r="V37" s="7">
        <f t="shared" si="5"/>
        <v>0</v>
      </c>
      <c r="W37" s="7">
        <v>0.0</v>
      </c>
      <c r="X37" s="7"/>
      <c r="Y37" s="7">
        <f t="shared" si="6"/>
        <v>0</v>
      </c>
      <c r="Z37" s="7">
        <v>0.0</v>
      </c>
      <c r="AA37" s="7"/>
      <c r="AB37" s="7">
        <f t="shared" si="7"/>
        <v>0</v>
      </c>
      <c r="AC37" s="7">
        <v>50.0</v>
      </c>
      <c r="AD37" s="7"/>
      <c r="AE37" s="7">
        <f t="shared" si="8"/>
        <v>50</v>
      </c>
      <c r="AF37" s="10"/>
      <c r="AG37" s="10"/>
      <c r="AH37" s="10"/>
      <c r="AI37" s="10"/>
    </row>
    <row r="38" ht="30.0" customHeight="1">
      <c r="A38" s="7">
        <v>36.0</v>
      </c>
      <c r="B38" s="7">
        <v>8.3059891E7</v>
      </c>
      <c r="C38" s="7">
        <v>23.0</v>
      </c>
      <c r="D38" s="7">
        <v>10.0</v>
      </c>
      <c r="E38" s="8" t="s">
        <v>83</v>
      </c>
      <c r="F38" s="9" t="s">
        <v>84</v>
      </c>
      <c r="G38" s="7" t="s">
        <v>27</v>
      </c>
      <c r="H38" s="7">
        <v>50.0</v>
      </c>
      <c r="I38" s="7">
        <v>124.0</v>
      </c>
      <c r="J38" s="7">
        <f t="shared" si="1"/>
        <v>50</v>
      </c>
      <c r="K38" s="7">
        <v>0.0</v>
      </c>
      <c r="L38" s="7"/>
      <c r="M38" s="7">
        <f t="shared" si="2"/>
        <v>0</v>
      </c>
      <c r="N38" s="7">
        <v>0.0</v>
      </c>
      <c r="O38" s="7"/>
      <c r="P38" s="7">
        <f t="shared" si="3"/>
        <v>0</v>
      </c>
      <c r="Q38" s="7">
        <v>0.0</v>
      </c>
      <c r="R38" s="7"/>
      <c r="S38" s="7">
        <f t="shared" si="4"/>
        <v>0</v>
      </c>
      <c r="T38" s="7">
        <v>0.0</v>
      </c>
      <c r="U38" s="7"/>
      <c r="V38" s="7">
        <f t="shared" si="5"/>
        <v>0</v>
      </c>
      <c r="W38" s="7">
        <v>0.0</v>
      </c>
      <c r="X38" s="7"/>
      <c r="Y38" s="7">
        <f t="shared" si="6"/>
        <v>0</v>
      </c>
      <c r="Z38" s="7">
        <v>0.0</v>
      </c>
      <c r="AA38" s="7"/>
      <c r="AB38" s="7">
        <f t="shared" si="7"/>
        <v>0</v>
      </c>
      <c r="AC38" s="7">
        <v>50.0</v>
      </c>
      <c r="AD38" s="7"/>
      <c r="AE38" s="7">
        <f t="shared" si="8"/>
        <v>50</v>
      </c>
      <c r="AF38" s="10"/>
      <c r="AG38" s="10"/>
      <c r="AH38" s="10"/>
      <c r="AI38" s="10"/>
    </row>
    <row r="39" ht="30.0" customHeight="1">
      <c r="A39" s="7">
        <v>37.0</v>
      </c>
      <c r="B39" s="7">
        <v>9.2111002E7</v>
      </c>
      <c r="C39" s="7">
        <v>25.0</v>
      </c>
      <c r="D39" s="7">
        <v>10.0</v>
      </c>
      <c r="E39" s="8" t="s">
        <v>85</v>
      </c>
      <c r="F39" s="9" t="s">
        <v>85</v>
      </c>
      <c r="G39" s="7" t="s">
        <v>40</v>
      </c>
      <c r="H39" s="7">
        <v>20.0</v>
      </c>
      <c r="I39" s="11">
        <v>0.0</v>
      </c>
      <c r="J39" s="7">
        <f t="shared" si="1"/>
        <v>20</v>
      </c>
      <c r="K39" s="7">
        <v>0.0</v>
      </c>
      <c r="L39" s="7"/>
      <c r="M39" s="7">
        <f t="shared" si="2"/>
        <v>0</v>
      </c>
      <c r="N39" s="7">
        <v>0.0</v>
      </c>
      <c r="O39" s="7"/>
      <c r="P39" s="7">
        <f t="shared" si="3"/>
        <v>0</v>
      </c>
      <c r="Q39" s="7">
        <v>0.0</v>
      </c>
      <c r="R39" s="7"/>
      <c r="S39" s="7">
        <f t="shared" si="4"/>
        <v>0</v>
      </c>
      <c r="T39" s="7">
        <v>0.0</v>
      </c>
      <c r="U39" s="7"/>
      <c r="V39" s="7">
        <f t="shared" si="5"/>
        <v>0</v>
      </c>
      <c r="W39" s="7">
        <v>0.0</v>
      </c>
      <c r="X39" s="7"/>
      <c r="Y39" s="7">
        <f t="shared" si="6"/>
        <v>0</v>
      </c>
      <c r="Z39" s="7">
        <v>0.0</v>
      </c>
      <c r="AA39" s="7"/>
      <c r="AB39" s="7">
        <f t="shared" si="7"/>
        <v>0</v>
      </c>
      <c r="AC39" s="7">
        <v>20.0</v>
      </c>
      <c r="AD39" s="7"/>
      <c r="AE39" s="7">
        <f t="shared" si="8"/>
        <v>20</v>
      </c>
      <c r="AF39" s="10"/>
      <c r="AG39" s="10"/>
      <c r="AH39" s="10"/>
      <c r="AI39" s="10"/>
    </row>
    <row r="40" ht="30.0" customHeight="1">
      <c r="A40" s="7">
        <v>38.0</v>
      </c>
      <c r="B40" s="7">
        <v>8.5011022E7</v>
      </c>
      <c r="C40" s="7">
        <v>24.0</v>
      </c>
      <c r="D40" s="7">
        <v>10.0</v>
      </c>
      <c r="E40" s="8" t="s">
        <v>86</v>
      </c>
      <c r="F40" s="9" t="s">
        <v>86</v>
      </c>
      <c r="G40" s="7" t="s">
        <v>27</v>
      </c>
      <c r="H40" s="7">
        <v>20.0</v>
      </c>
      <c r="I40" s="7">
        <v>80.0</v>
      </c>
      <c r="J40" s="7">
        <f t="shared" si="1"/>
        <v>20</v>
      </c>
      <c r="K40" s="7">
        <v>0.0</v>
      </c>
      <c r="L40" s="7"/>
      <c r="M40" s="7">
        <f t="shared" si="2"/>
        <v>0</v>
      </c>
      <c r="N40" s="7">
        <v>20.0</v>
      </c>
      <c r="O40" s="7"/>
      <c r="P40" s="7">
        <f t="shared" si="3"/>
        <v>20</v>
      </c>
      <c r="Q40" s="7">
        <v>0.0</v>
      </c>
      <c r="R40" s="7"/>
      <c r="S40" s="7">
        <f t="shared" si="4"/>
        <v>0</v>
      </c>
      <c r="T40" s="7">
        <v>0.0</v>
      </c>
      <c r="U40" s="7"/>
      <c r="V40" s="7">
        <f t="shared" si="5"/>
        <v>0</v>
      </c>
      <c r="W40" s="7">
        <v>0.0</v>
      </c>
      <c r="X40" s="7"/>
      <c r="Y40" s="7">
        <f t="shared" si="6"/>
        <v>0</v>
      </c>
      <c r="Z40" s="7">
        <v>0.0</v>
      </c>
      <c r="AA40" s="7"/>
      <c r="AB40" s="7">
        <f t="shared" si="7"/>
        <v>0</v>
      </c>
      <c r="AC40" s="7">
        <v>0.0</v>
      </c>
      <c r="AD40" s="7"/>
      <c r="AE40" s="7">
        <f t="shared" si="8"/>
        <v>0</v>
      </c>
      <c r="AF40" s="7">
        <v>50.0</v>
      </c>
      <c r="AG40" s="7">
        <v>50.0</v>
      </c>
      <c r="AH40" s="7">
        <v>80.0</v>
      </c>
      <c r="AI40" s="11">
        <v>0.0</v>
      </c>
    </row>
    <row r="41" ht="30.0" customHeight="1">
      <c r="A41" s="7">
        <v>39.0</v>
      </c>
      <c r="B41" s="7">
        <v>6.4273027E7</v>
      </c>
      <c r="C41" s="7">
        <v>24.0</v>
      </c>
      <c r="D41" s="7">
        <v>10.0</v>
      </c>
      <c r="E41" s="8" t="s">
        <v>87</v>
      </c>
      <c r="F41" s="9" t="s">
        <v>88</v>
      </c>
      <c r="G41" s="7" t="s">
        <v>27</v>
      </c>
      <c r="H41" s="7">
        <v>40.0</v>
      </c>
      <c r="I41" s="7">
        <v>113.0</v>
      </c>
      <c r="J41" s="7">
        <f t="shared" si="1"/>
        <v>0</v>
      </c>
      <c r="K41" s="7">
        <v>0.0</v>
      </c>
      <c r="L41" s="7"/>
      <c r="M41" s="7">
        <f t="shared" si="2"/>
        <v>0</v>
      </c>
      <c r="N41" s="7">
        <v>0.0</v>
      </c>
      <c r="O41" s="7"/>
      <c r="P41" s="7">
        <f t="shared" si="3"/>
        <v>0</v>
      </c>
      <c r="Q41" s="7">
        <v>0.0</v>
      </c>
      <c r="R41" s="7"/>
      <c r="S41" s="7">
        <f t="shared" si="4"/>
        <v>0</v>
      </c>
      <c r="T41" s="7">
        <v>0.0</v>
      </c>
      <c r="U41" s="7"/>
      <c r="V41" s="7">
        <f t="shared" si="5"/>
        <v>0</v>
      </c>
      <c r="W41" s="7">
        <v>0.0</v>
      </c>
      <c r="X41" s="7"/>
      <c r="Y41" s="7">
        <f t="shared" si="6"/>
        <v>0</v>
      </c>
      <c r="Z41" s="7">
        <v>0.0</v>
      </c>
      <c r="AA41" s="7"/>
      <c r="AB41" s="7">
        <f t="shared" si="7"/>
        <v>0</v>
      </c>
      <c r="AC41" s="7">
        <v>0.0</v>
      </c>
      <c r="AD41" s="7"/>
      <c r="AE41" s="7">
        <f t="shared" si="8"/>
        <v>0</v>
      </c>
      <c r="AF41" s="7">
        <v>35.0</v>
      </c>
      <c r="AG41" s="7">
        <v>50.0</v>
      </c>
      <c r="AH41" s="7">
        <v>10.0</v>
      </c>
      <c r="AI41" s="11">
        <v>0.0</v>
      </c>
    </row>
    <row r="42" ht="30.0" customHeight="1">
      <c r="A42" s="7">
        <v>40.0</v>
      </c>
      <c r="B42" s="7">
        <v>8.5014813E7</v>
      </c>
      <c r="C42" s="7">
        <v>24.0</v>
      </c>
      <c r="D42" s="7">
        <v>10.0</v>
      </c>
      <c r="E42" s="8" t="s">
        <v>89</v>
      </c>
      <c r="F42" s="9" t="s">
        <v>89</v>
      </c>
      <c r="G42" s="7" t="s">
        <v>27</v>
      </c>
      <c r="H42" s="7">
        <v>10.0</v>
      </c>
      <c r="I42" s="7">
        <v>45.0</v>
      </c>
      <c r="J42" s="7">
        <f t="shared" si="1"/>
        <v>0</v>
      </c>
      <c r="K42" s="7">
        <v>0.0</v>
      </c>
      <c r="L42" s="7"/>
      <c r="M42" s="7">
        <f t="shared" si="2"/>
        <v>0</v>
      </c>
      <c r="N42" s="7">
        <v>0.0</v>
      </c>
      <c r="O42" s="7"/>
      <c r="P42" s="7">
        <f t="shared" si="3"/>
        <v>0</v>
      </c>
      <c r="Q42" s="7">
        <v>0.0</v>
      </c>
      <c r="R42" s="7"/>
      <c r="S42" s="7">
        <f t="shared" si="4"/>
        <v>0</v>
      </c>
      <c r="T42" s="7">
        <v>0.0</v>
      </c>
      <c r="U42" s="7"/>
      <c r="V42" s="7">
        <f t="shared" si="5"/>
        <v>0</v>
      </c>
      <c r="W42" s="7">
        <v>0.0</v>
      </c>
      <c r="X42" s="7"/>
      <c r="Y42" s="7">
        <f t="shared" si="6"/>
        <v>0</v>
      </c>
      <c r="Z42" s="7">
        <v>0.0</v>
      </c>
      <c r="AA42" s="7"/>
      <c r="AB42" s="7">
        <f t="shared" si="7"/>
        <v>0</v>
      </c>
      <c r="AC42" s="7">
        <v>0.0</v>
      </c>
      <c r="AD42" s="7"/>
      <c r="AE42" s="7">
        <f t="shared" si="8"/>
        <v>0</v>
      </c>
      <c r="AF42" s="7">
        <v>14.0</v>
      </c>
      <c r="AG42" s="7">
        <v>28.0</v>
      </c>
      <c r="AH42" s="7">
        <v>18.0</v>
      </c>
      <c r="AI42" s="11">
        <v>0.0</v>
      </c>
    </row>
    <row r="43" ht="30.0" customHeight="1">
      <c r="A43" s="7">
        <v>41.0</v>
      </c>
      <c r="B43" s="7">
        <v>8.411518E7</v>
      </c>
      <c r="C43" s="7">
        <v>24.0</v>
      </c>
      <c r="D43" s="7">
        <v>70.0</v>
      </c>
      <c r="E43" s="8" t="s">
        <v>90</v>
      </c>
      <c r="F43" s="9" t="s">
        <v>91</v>
      </c>
      <c r="G43" s="7" t="s">
        <v>53</v>
      </c>
      <c r="H43" s="7">
        <v>300.0</v>
      </c>
      <c r="I43" s="7">
        <v>250.0</v>
      </c>
      <c r="J43" s="7">
        <f t="shared" si="1"/>
        <v>300</v>
      </c>
      <c r="K43" s="7">
        <v>150.0</v>
      </c>
      <c r="L43" s="7"/>
      <c r="M43" s="7">
        <f t="shared" si="2"/>
        <v>150</v>
      </c>
      <c r="N43" s="7">
        <v>100.0</v>
      </c>
      <c r="O43" s="7"/>
      <c r="P43" s="7">
        <f t="shared" si="3"/>
        <v>100</v>
      </c>
      <c r="Q43" s="7">
        <v>50.0</v>
      </c>
      <c r="R43" s="7"/>
      <c r="S43" s="7">
        <f t="shared" si="4"/>
        <v>50</v>
      </c>
      <c r="T43" s="7">
        <v>0.0</v>
      </c>
      <c r="U43" s="7"/>
      <c r="V43" s="7">
        <f t="shared" si="5"/>
        <v>0</v>
      </c>
      <c r="W43" s="7">
        <v>0.0</v>
      </c>
      <c r="X43" s="7"/>
      <c r="Y43" s="7">
        <f t="shared" si="6"/>
        <v>0</v>
      </c>
      <c r="Z43" s="7">
        <v>0.0</v>
      </c>
      <c r="AA43" s="7"/>
      <c r="AB43" s="7">
        <f t="shared" si="7"/>
        <v>0</v>
      </c>
      <c r="AC43" s="7">
        <v>0.0</v>
      </c>
      <c r="AD43" s="7"/>
      <c r="AE43" s="7">
        <f t="shared" si="8"/>
        <v>0</v>
      </c>
      <c r="AF43" s="10"/>
      <c r="AG43" s="10"/>
      <c r="AH43" s="10"/>
      <c r="AI43" s="10"/>
    </row>
    <row r="44" ht="30.0" customHeight="1">
      <c r="A44" s="7">
        <v>42.0</v>
      </c>
      <c r="B44" s="7">
        <v>8.009028E7</v>
      </c>
      <c r="C44" s="7">
        <v>25.0</v>
      </c>
      <c r="D44" s="7">
        <v>70.0</v>
      </c>
      <c r="E44" s="8" t="s">
        <v>92</v>
      </c>
      <c r="F44" s="9" t="s">
        <v>92</v>
      </c>
      <c r="G44" s="7" t="s">
        <v>40</v>
      </c>
      <c r="H44" s="7">
        <v>11000.0</v>
      </c>
      <c r="I44" s="7">
        <v>8200.0</v>
      </c>
      <c r="J44" s="7">
        <f t="shared" si="1"/>
        <v>11000</v>
      </c>
      <c r="K44" s="7">
        <v>11000.0</v>
      </c>
      <c r="L44" s="7"/>
      <c r="M44" s="7">
        <f t="shared" si="2"/>
        <v>11000</v>
      </c>
      <c r="N44" s="7">
        <v>0.0</v>
      </c>
      <c r="O44" s="7"/>
      <c r="P44" s="7">
        <f t="shared" si="3"/>
        <v>0</v>
      </c>
      <c r="Q44" s="7">
        <v>0.0</v>
      </c>
      <c r="R44" s="7"/>
      <c r="S44" s="7">
        <f t="shared" si="4"/>
        <v>0</v>
      </c>
      <c r="T44" s="7">
        <v>0.0</v>
      </c>
      <c r="U44" s="7"/>
      <c r="V44" s="7">
        <f t="shared" si="5"/>
        <v>0</v>
      </c>
      <c r="W44" s="7">
        <v>0.0</v>
      </c>
      <c r="X44" s="7"/>
      <c r="Y44" s="7">
        <f t="shared" si="6"/>
        <v>0</v>
      </c>
      <c r="Z44" s="7">
        <v>0.0</v>
      </c>
      <c r="AA44" s="7"/>
      <c r="AB44" s="7">
        <f t="shared" si="7"/>
        <v>0</v>
      </c>
      <c r="AC44" s="7">
        <v>0.0</v>
      </c>
      <c r="AD44" s="7"/>
      <c r="AE44" s="7">
        <f t="shared" si="8"/>
        <v>0</v>
      </c>
      <c r="AF44" s="10"/>
      <c r="AG44" s="10"/>
      <c r="AH44" s="10"/>
      <c r="AI44" s="10"/>
    </row>
    <row r="45" ht="30.0" customHeight="1">
      <c r="A45" s="7">
        <v>43.0</v>
      </c>
      <c r="B45" s="7">
        <v>4.7350015E7</v>
      </c>
      <c r="C45" s="7">
        <v>24.0</v>
      </c>
      <c r="D45" s="7">
        <v>70.0</v>
      </c>
      <c r="E45" s="8" t="s">
        <v>93</v>
      </c>
      <c r="F45" s="9" t="s">
        <v>94</v>
      </c>
      <c r="G45" s="7" t="s">
        <v>27</v>
      </c>
      <c r="H45" s="7">
        <v>2.0</v>
      </c>
      <c r="I45" s="7">
        <v>3.0</v>
      </c>
      <c r="J45" s="7">
        <f t="shared" si="1"/>
        <v>2</v>
      </c>
      <c r="K45" s="7">
        <v>2.0</v>
      </c>
      <c r="L45" s="7"/>
      <c r="M45" s="7">
        <f t="shared" si="2"/>
        <v>2</v>
      </c>
      <c r="N45" s="7">
        <v>0.0</v>
      </c>
      <c r="O45" s="7"/>
      <c r="P45" s="7">
        <f t="shared" si="3"/>
        <v>0</v>
      </c>
      <c r="Q45" s="7">
        <v>0.0</v>
      </c>
      <c r="R45" s="7"/>
      <c r="S45" s="7">
        <f t="shared" si="4"/>
        <v>0</v>
      </c>
      <c r="T45" s="7">
        <v>0.0</v>
      </c>
      <c r="U45" s="7"/>
      <c r="V45" s="7">
        <f t="shared" si="5"/>
        <v>0</v>
      </c>
      <c r="W45" s="7">
        <v>0.0</v>
      </c>
      <c r="X45" s="7"/>
      <c r="Y45" s="7">
        <f t="shared" si="6"/>
        <v>0</v>
      </c>
      <c r="Z45" s="7">
        <v>0.0</v>
      </c>
      <c r="AA45" s="7"/>
      <c r="AB45" s="7">
        <f t="shared" si="7"/>
        <v>0</v>
      </c>
      <c r="AC45" s="7">
        <v>0.0</v>
      </c>
      <c r="AD45" s="7"/>
      <c r="AE45" s="7">
        <f t="shared" si="8"/>
        <v>0</v>
      </c>
      <c r="AF45" s="10"/>
      <c r="AG45" s="10"/>
      <c r="AH45" s="10"/>
      <c r="AI45" s="10"/>
    </row>
    <row r="46" ht="30.0" customHeight="1">
      <c r="A46" s="7">
        <v>44.0</v>
      </c>
      <c r="B46" s="7">
        <v>4.7420509E7</v>
      </c>
      <c r="C46" s="7">
        <v>24.0</v>
      </c>
      <c r="D46" s="7">
        <v>70.0</v>
      </c>
      <c r="E46" s="8" t="s">
        <v>95</v>
      </c>
      <c r="F46" s="9" t="s">
        <v>96</v>
      </c>
      <c r="G46" s="7" t="s">
        <v>27</v>
      </c>
      <c r="H46" s="7">
        <v>8.0</v>
      </c>
      <c r="I46" s="11">
        <v>0.0</v>
      </c>
      <c r="J46" s="7">
        <f t="shared" si="1"/>
        <v>8</v>
      </c>
      <c r="K46" s="7">
        <v>8.0</v>
      </c>
      <c r="L46" s="7"/>
      <c r="M46" s="7">
        <f t="shared" si="2"/>
        <v>8</v>
      </c>
      <c r="N46" s="7">
        <v>0.0</v>
      </c>
      <c r="O46" s="7"/>
      <c r="P46" s="7">
        <f t="shared" si="3"/>
        <v>0</v>
      </c>
      <c r="Q46" s="7">
        <v>0.0</v>
      </c>
      <c r="R46" s="7"/>
      <c r="S46" s="7">
        <f t="shared" si="4"/>
        <v>0</v>
      </c>
      <c r="T46" s="7">
        <v>0.0</v>
      </c>
      <c r="U46" s="7"/>
      <c r="V46" s="7">
        <f t="shared" si="5"/>
        <v>0</v>
      </c>
      <c r="W46" s="7">
        <v>0.0</v>
      </c>
      <c r="X46" s="7"/>
      <c r="Y46" s="7">
        <f t="shared" si="6"/>
        <v>0</v>
      </c>
      <c r="Z46" s="7">
        <v>0.0</v>
      </c>
      <c r="AA46" s="7"/>
      <c r="AB46" s="7">
        <f t="shared" si="7"/>
        <v>0</v>
      </c>
      <c r="AC46" s="7">
        <v>0.0</v>
      </c>
      <c r="AD46" s="7"/>
      <c r="AE46" s="7">
        <f t="shared" si="8"/>
        <v>0</v>
      </c>
      <c r="AF46" s="10"/>
      <c r="AG46" s="10"/>
      <c r="AH46" s="10"/>
      <c r="AI46" s="10"/>
    </row>
    <row r="47" ht="30.0" customHeight="1">
      <c r="A47" s="7">
        <v>45.0</v>
      </c>
      <c r="B47" s="7">
        <v>4.6120324E7</v>
      </c>
      <c r="C47" s="7">
        <v>23.0</v>
      </c>
      <c r="D47" s="7">
        <v>10.0</v>
      </c>
      <c r="E47" s="8" t="s">
        <v>97</v>
      </c>
      <c r="F47" s="9" t="s">
        <v>98</v>
      </c>
      <c r="G47" s="7" t="s">
        <v>27</v>
      </c>
      <c r="H47" s="7">
        <v>150.0</v>
      </c>
      <c r="I47" s="7">
        <v>63.0</v>
      </c>
      <c r="J47" s="7">
        <f t="shared" si="1"/>
        <v>150</v>
      </c>
      <c r="K47" s="7">
        <v>0.0</v>
      </c>
      <c r="L47" s="7"/>
      <c r="M47" s="7">
        <f t="shared" si="2"/>
        <v>0</v>
      </c>
      <c r="N47" s="7">
        <v>150.0</v>
      </c>
      <c r="O47" s="7"/>
      <c r="P47" s="7">
        <f t="shared" si="3"/>
        <v>150</v>
      </c>
      <c r="Q47" s="7">
        <v>0.0</v>
      </c>
      <c r="R47" s="7"/>
      <c r="S47" s="7">
        <f t="shared" si="4"/>
        <v>0</v>
      </c>
      <c r="T47" s="7">
        <v>0.0</v>
      </c>
      <c r="U47" s="7"/>
      <c r="V47" s="7">
        <f t="shared" si="5"/>
        <v>0</v>
      </c>
      <c r="W47" s="7">
        <v>0.0</v>
      </c>
      <c r="X47" s="7"/>
      <c r="Y47" s="7">
        <f t="shared" si="6"/>
        <v>0</v>
      </c>
      <c r="Z47" s="7">
        <v>0.0</v>
      </c>
      <c r="AA47" s="7"/>
      <c r="AB47" s="7">
        <f t="shared" si="7"/>
        <v>0</v>
      </c>
      <c r="AC47" s="7">
        <v>0.0</v>
      </c>
      <c r="AD47" s="7"/>
      <c r="AE47" s="7">
        <f t="shared" si="8"/>
        <v>0</v>
      </c>
      <c r="AF47" s="7">
        <v>120.0</v>
      </c>
      <c r="AG47" s="7">
        <v>123.0</v>
      </c>
      <c r="AH47" s="7">
        <v>139.0</v>
      </c>
      <c r="AI47" s="11">
        <v>0.0</v>
      </c>
    </row>
    <row r="48" ht="30.0" customHeight="1">
      <c r="A48" s="7">
        <v>46.0</v>
      </c>
      <c r="B48" s="7">
        <v>7.5034232E7</v>
      </c>
      <c r="C48" s="7">
        <v>23.0</v>
      </c>
      <c r="D48" s="7">
        <v>10.0</v>
      </c>
      <c r="E48" s="8" t="s">
        <v>99</v>
      </c>
      <c r="F48" s="9" t="s">
        <v>100</v>
      </c>
      <c r="G48" s="7" t="s">
        <v>27</v>
      </c>
      <c r="H48" s="7">
        <v>8.0</v>
      </c>
      <c r="I48" s="7">
        <v>9.0</v>
      </c>
      <c r="J48" s="7">
        <f t="shared" si="1"/>
        <v>8</v>
      </c>
      <c r="K48" s="7">
        <v>0.0</v>
      </c>
      <c r="L48" s="7"/>
      <c r="M48" s="7">
        <f t="shared" si="2"/>
        <v>0</v>
      </c>
      <c r="N48" s="7">
        <v>8.0</v>
      </c>
      <c r="O48" s="7"/>
      <c r="P48" s="7">
        <f t="shared" si="3"/>
        <v>8</v>
      </c>
      <c r="Q48" s="7">
        <v>0.0</v>
      </c>
      <c r="R48" s="7"/>
      <c r="S48" s="7">
        <f t="shared" si="4"/>
        <v>0</v>
      </c>
      <c r="T48" s="7">
        <v>0.0</v>
      </c>
      <c r="U48" s="7"/>
      <c r="V48" s="7">
        <f t="shared" si="5"/>
        <v>0</v>
      </c>
      <c r="W48" s="7">
        <v>0.0</v>
      </c>
      <c r="X48" s="7"/>
      <c r="Y48" s="7">
        <f t="shared" si="6"/>
        <v>0</v>
      </c>
      <c r="Z48" s="7">
        <v>0.0</v>
      </c>
      <c r="AA48" s="7"/>
      <c r="AB48" s="7">
        <f t="shared" si="7"/>
        <v>0</v>
      </c>
      <c r="AC48" s="7">
        <v>0.0</v>
      </c>
      <c r="AD48" s="7"/>
      <c r="AE48" s="7">
        <f t="shared" si="8"/>
        <v>0</v>
      </c>
      <c r="AF48" s="10"/>
      <c r="AG48" s="10"/>
      <c r="AH48" s="10"/>
      <c r="AI48" s="10"/>
    </row>
    <row r="49" ht="30.0" customHeight="1">
      <c r="A49" s="7">
        <v>47.0</v>
      </c>
      <c r="B49" s="7">
        <v>7.5035893E7</v>
      </c>
      <c r="C49" s="7">
        <v>23.0</v>
      </c>
      <c r="D49" s="7">
        <v>10.0</v>
      </c>
      <c r="E49" s="8" t="s">
        <v>101</v>
      </c>
      <c r="F49" s="9" t="s">
        <v>102</v>
      </c>
      <c r="G49" s="7" t="s">
        <v>44</v>
      </c>
      <c r="H49" s="7">
        <v>400.0</v>
      </c>
      <c r="I49" s="7">
        <v>822.0</v>
      </c>
      <c r="J49" s="7">
        <f t="shared" si="1"/>
        <v>180</v>
      </c>
      <c r="K49" s="7">
        <v>120.0</v>
      </c>
      <c r="L49" s="7"/>
      <c r="M49" s="7">
        <f t="shared" si="2"/>
        <v>120</v>
      </c>
      <c r="N49" s="7">
        <v>60.0</v>
      </c>
      <c r="O49" s="7"/>
      <c r="P49" s="7">
        <f t="shared" si="3"/>
        <v>60</v>
      </c>
      <c r="Q49" s="7">
        <v>0.0</v>
      </c>
      <c r="R49" s="7"/>
      <c r="S49" s="7">
        <f t="shared" si="4"/>
        <v>0</v>
      </c>
      <c r="T49" s="7">
        <v>0.0</v>
      </c>
      <c r="U49" s="7"/>
      <c r="V49" s="7">
        <f t="shared" si="5"/>
        <v>0</v>
      </c>
      <c r="W49" s="7">
        <v>0.0</v>
      </c>
      <c r="X49" s="7"/>
      <c r="Y49" s="7">
        <f t="shared" si="6"/>
        <v>0</v>
      </c>
      <c r="Z49" s="7">
        <v>0.0</v>
      </c>
      <c r="AA49" s="7"/>
      <c r="AB49" s="7">
        <f t="shared" si="7"/>
        <v>0</v>
      </c>
      <c r="AC49" s="7">
        <v>0.0</v>
      </c>
      <c r="AD49" s="7"/>
      <c r="AE49" s="7">
        <f t="shared" si="8"/>
        <v>0</v>
      </c>
      <c r="AF49" s="10"/>
      <c r="AG49" s="10"/>
      <c r="AH49" s="10"/>
      <c r="AI49" s="10"/>
    </row>
    <row r="50" ht="30.0" customHeight="1">
      <c r="A50" s="7">
        <v>48.0</v>
      </c>
      <c r="B50" s="7">
        <v>7.5035868E7</v>
      </c>
      <c r="C50" s="7">
        <v>23.0</v>
      </c>
      <c r="D50" s="7">
        <v>10.0</v>
      </c>
      <c r="E50" s="8" t="s">
        <v>103</v>
      </c>
      <c r="F50" s="9" t="s">
        <v>104</v>
      </c>
      <c r="G50" s="7" t="s">
        <v>44</v>
      </c>
      <c r="H50" s="7">
        <v>500.0</v>
      </c>
      <c r="I50" s="7">
        <v>1560.0</v>
      </c>
      <c r="J50" s="7">
        <f t="shared" si="1"/>
        <v>500</v>
      </c>
      <c r="K50" s="7">
        <v>100.0</v>
      </c>
      <c r="L50" s="7"/>
      <c r="M50" s="7">
        <f t="shared" si="2"/>
        <v>100</v>
      </c>
      <c r="N50" s="7">
        <v>100.0</v>
      </c>
      <c r="O50" s="7"/>
      <c r="P50" s="7">
        <f t="shared" si="3"/>
        <v>100</v>
      </c>
      <c r="Q50" s="7">
        <v>300.0</v>
      </c>
      <c r="R50" s="7"/>
      <c r="S50" s="7">
        <f t="shared" si="4"/>
        <v>300</v>
      </c>
      <c r="T50" s="7">
        <v>0.0</v>
      </c>
      <c r="U50" s="7"/>
      <c r="V50" s="7">
        <f t="shared" si="5"/>
        <v>0</v>
      </c>
      <c r="W50" s="7">
        <v>0.0</v>
      </c>
      <c r="X50" s="7"/>
      <c r="Y50" s="7">
        <f t="shared" si="6"/>
        <v>0</v>
      </c>
      <c r="Z50" s="7">
        <v>0.0</v>
      </c>
      <c r="AA50" s="7"/>
      <c r="AB50" s="7">
        <f t="shared" si="7"/>
        <v>0</v>
      </c>
      <c r="AC50" s="7">
        <v>0.0</v>
      </c>
      <c r="AD50" s="7"/>
      <c r="AE50" s="7">
        <f t="shared" si="8"/>
        <v>0</v>
      </c>
      <c r="AF50" s="10"/>
      <c r="AG50" s="10"/>
      <c r="AH50" s="10"/>
      <c r="AI50" s="10"/>
    </row>
    <row r="51" ht="30.0" customHeight="1">
      <c r="A51" s="7">
        <v>49.0</v>
      </c>
      <c r="B51" s="7">
        <v>7.5035856E7</v>
      </c>
      <c r="C51" s="7">
        <v>23.0</v>
      </c>
      <c r="D51" s="7">
        <v>10.0</v>
      </c>
      <c r="E51" s="8" t="s">
        <v>105</v>
      </c>
      <c r="F51" s="9" t="s">
        <v>106</v>
      </c>
      <c r="G51" s="7" t="s">
        <v>44</v>
      </c>
      <c r="H51" s="7">
        <v>300.0</v>
      </c>
      <c r="I51" s="7">
        <v>920.0</v>
      </c>
      <c r="J51" s="7">
        <f t="shared" si="1"/>
        <v>300</v>
      </c>
      <c r="K51" s="7">
        <v>40.0</v>
      </c>
      <c r="L51" s="7"/>
      <c r="M51" s="7">
        <f t="shared" si="2"/>
        <v>40</v>
      </c>
      <c r="N51" s="7">
        <v>120.0</v>
      </c>
      <c r="O51" s="7"/>
      <c r="P51" s="7">
        <f t="shared" si="3"/>
        <v>120</v>
      </c>
      <c r="Q51" s="7">
        <v>140.0</v>
      </c>
      <c r="R51" s="7"/>
      <c r="S51" s="7">
        <f t="shared" si="4"/>
        <v>140</v>
      </c>
      <c r="T51" s="7">
        <v>0.0</v>
      </c>
      <c r="U51" s="7"/>
      <c r="V51" s="7">
        <f t="shared" si="5"/>
        <v>0</v>
      </c>
      <c r="W51" s="7">
        <v>0.0</v>
      </c>
      <c r="X51" s="7"/>
      <c r="Y51" s="7">
        <f t="shared" si="6"/>
        <v>0</v>
      </c>
      <c r="Z51" s="7">
        <v>0.0</v>
      </c>
      <c r="AA51" s="7"/>
      <c r="AB51" s="7">
        <f t="shared" si="7"/>
        <v>0</v>
      </c>
      <c r="AC51" s="7">
        <v>0.0</v>
      </c>
      <c r="AD51" s="7"/>
      <c r="AE51" s="7">
        <f t="shared" si="8"/>
        <v>0</v>
      </c>
      <c r="AF51" s="10"/>
      <c r="AG51" s="10"/>
      <c r="AH51" s="10"/>
      <c r="AI51" s="10"/>
    </row>
    <row r="52" ht="30.0" customHeight="1">
      <c r="A52" s="7">
        <v>50.0</v>
      </c>
      <c r="B52" s="7">
        <v>7.50359E7</v>
      </c>
      <c r="C52" s="7">
        <v>23.0</v>
      </c>
      <c r="D52" s="7">
        <v>10.0</v>
      </c>
      <c r="E52" s="8" t="s">
        <v>107</v>
      </c>
      <c r="F52" s="9" t="s">
        <v>108</v>
      </c>
      <c r="G52" s="7" t="s">
        <v>44</v>
      </c>
      <c r="H52" s="7">
        <v>200.0</v>
      </c>
      <c r="I52" s="7">
        <v>108.0</v>
      </c>
      <c r="J52" s="7">
        <f t="shared" si="1"/>
        <v>200</v>
      </c>
      <c r="K52" s="7">
        <v>50.0</v>
      </c>
      <c r="L52" s="7"/>
      <c r="M52" s="7">
        <f t="shared" si="2"/>
        <v>50</v>
      </c>
      <c r="N52" s="7">
        <v>50.0</v>
      </c>
      <c r="O52" s="7"/>
      <c r="P52" s="7">
        <f t="shared" si="3"/>
        <v>50</v>
      </c>
      <c r="Q52" s="7">
        <v>100.0</v>
      </c>
      <c r="R52" s="7"/>
      <c r="S52" s="7">
        <f t="shared" si="4"/>
        <v>100</v>
      </c>
      <c r="T52" s="7">
        <v>0.0</v>
      </c>
      <c r="U52" s="7"/>
      <c r="V52" s="7">
        <f t="shared" si="5"/>
        <v>0</v>
      </c>
      <c r="W52" s="7">
        <v>0.0</v>
      </c>
      <c r="X52" s="7"/>
      <c r="Y52" s="7">
        <f t="shared" si="6"/>
        <v>0</v>
      </c>
      <c r="Z52" s="7">
        <v>0.0</v>
      </c>
      <c r="AA52" s="7"/>
      <c r="AB52" s="7">
        <f t="shared" si="7"/>
        <v>0</v>
      </c>
      <c r="AC52" s="7">
        <v>0.0</v>
      </c>
      <c r="AD52" s="7"/>
      <c r="AE52" s="7">
        <f t="shared" si="8"/>
        <v>0</v>
      </c>
      <c r="AF52" s="10"/>
      <c r="AG52" s="10"/>
      <c r="AH52" s="10"/>
      <c r="AI52" s="10"/>
    </row>
    <row r="53" ht="30.0" customHeight="1">
      <c r="A53" s="7">
        <v>51.0</v>
      </c>
      <c r="B53" s="7">
        <v>7.5035881E7</v>
      </c>
      <c r="C53" s="7">
        <v>23.0</v>
      </c>
      <c r="D53" s="7">
        <v>70.0</v>
      </c>
      <c r="E53" s="8" t="s">
        <v>109</v>
      </c>
      <c r="F53" s="9" t="s">
        <v>110</v>
      </c>
      <c r="G53" s="7" t="s">
        <v>44</v>
      </c>
      <c r="H53" s="7">
        <v>300.0</v>
      </c>
      <c r="I53" s="7">
        <v>160.0</v>
      </c>
      <c r="J53" s="7">
        <f t="shared" si="1"/>
        <v>220</v>
      </c>
      <c r="K53" s="7">
        <v>40.0</v>
      </c>
      <c r="L53" s="7"/>
      <c r="M53" s="7">
        <f t="shared" si="2"/>
        <v>40</v>
      </c>
      <c r="N53" s="7">
        <v>60.0</v>
      </c>
      <c r="O53" s="7"/>
      <c r="P53" s="7">
        <f t="shared" si="3"/>
        <v>60</v>
      </c>
      <c r="Q53" s="7">
        <v>120.0</v>
      </c>
      <c r="R53" s="7"/>
      <c r="S53" s="7">
        <f t="shared" si="4"/>
        <v>120</v>
      </c>
      <c r="T53" s="7">
        <v>0.0</v>
      </c>
      <c r="U53" s="7"/>
      <c r="V53" s="7">
        <f t="shared" si="5"/>
        <v>0</v>
      </c>
      <c r="W53" s="7">
        <v>0.0</v>
      </c>
      <c r="X53" s="7"/>
      <c r="Y53" s="7">
        <f t="shared" si="6"/>
        <v>0</v>
      </c>
      <c r="Z53" s="7">
        <v>0.0</v>
      </c>
      <c r="AA53" s="7"/>
      <c r="AB53" s="7">
        <f t="shared" si="7"/>
        <v>0</v>
      </c>
      <c r="AC53" s="7">
        <v>0.0</v>
      </c>
      <c r="AD53" s="7"/>
      <c r="AE53" s="7">
        <f t="shared" si="8"/>
        <v>0</v>
      </c>
      <c r="AF53" s="10"/>
      <c r="AG53" s="10"/>
      <c r="AH53" s="10"/>
      <c r="AI53" s="10"/>
    </row>
    <row r="54" ht="30.0" customHeight="1">
      <c r="A54" s="7">
        <v>52.0</v>
      </c>
      <c r="B54" s="7">
        <v>4.2130025E7</v>
      </c>
      <c r="C54" s="7">
        <v>24.0</v>
      </c>
      <c r="D54" s="7">
        <v>70.0</v>
      </c>
      <c r="E54" s="8" t="s">
        <v>111</v>
      </c>
      <c r="F54" s="9" t="s">
        <v>112</v>
      </c>
      <c r="G54" s="7" t="s">
        <v>44</v>
      </c>
      <c r="H54" s="7">
        <v>1200.0</v>
      </c>
      <c r="I54" s="7">
        <v>490.0</v>
      </c>
      <c r="J54" s="7">
        <f t="shared" si="1"/>
        <v>1200</v>
      </c>
      <c r="K54" s="7">
        <v>300.0</v>
      </c>
      <c r="L54" s="7"/>
      <c r="M54" s="7">
        <f t="shared" si="2"/>
        <v>300</v>
      </c>
      <c r="N54" s="7">
        <v>300.0</v>
      </c>
      <c r="O54" s="7"/>
      <c r="P54" s="7">
        <f t="shared" si="3"/>
        <v>300</v>
      </c>
      <c r="Q54" s="7">
        <v>300.0</v>
      </c>
      <c r="R54" s="7"/>
      <c r="S54" s="7">
        <f t="shared" si="4"/>
        <v>300</v>
      </c>
      <c r="T54" s="7">
        <v>100.0</v>
      </c>
      <c r="U54" s="7"/>
      <c r="V54" s="7">
        <f t="shared" si="5"/>
        <v>100</v>
      </c>
      <c r="W54" s="7">
        <v>100.0</v>
      </c>
      <c r="X54" s="7"/>
      <c r="Y54" s="7">
        <f t="shared" si="6"/>
        <v>100</v>
      </c>
      <c r="Z54" s="7">
        <v>100.0</v>
      </c>
      <c r="AA54" s="7"/>
      <c r="AB54" s="7">
        <f t="shared" si="7"/>
        <v>100</v>
      </c>
      <c r="AC54" s="7">
        <v>0.0</v>
      </c>
      <c r="AD54" s="7"/>
      <c r="AE54" s="7">
        <f t="shared" si="8"/>
        <v>0</v>
      </c>
      <c r="AF54" s="10"/>
      <c r="AG54" s="10"/>
      <c r="AH54" s="10"/>
      <c r="AI54" s="10"/>
    </row>
    <row r="55" ht="30.0" customHeight="1">
      <c r="A55" s="7">
        <v>53.0</v>
      </c>
      <c r="B55" s="7">
        <v>4.2130013E7</v>
      </c>
      <c r="C55" s="7">
        <v>24.0</v>
      </c>
      <c r="D55" s="7">
        <v>70.0</v>
      </c>
      <c r="E55" s="8" t="s">
        <v>113</v>
      </c>
      <c r="F55" s="9" t="s">
        <v>114</v>
      </c>
      <c r="G55" s="7" t="s">
        <v>44</v>
      </c>
      <c r="H55" s="7">
        <v>600.0</v>
      </c>
      <c r="I55" s="7">
        <v>125.0</v>
      </c>
      <c r="J55" s="7">
        <f t="shared" si="1"/>
        <v>600</v>
      </c>
      <c r="K55" s="7">
        <v>150.0</v>
      </c>
      <c r="L55" s="7"/>
      <c r="M55" s="7">
        <f t="shared" si="2"/>
        <v>150</v>
      </c>
      <c r="N55" s="7">
        <v>150.0</v>
      </c>
      <c r="O55" s="7"/>
      <c r="P55" s="7">
        <f t="shared" si="3"/>
        <v>150</v>
      </c>
      <c r="Q55" s="7">
        <v>150.0</v>
      </c>
      <c r="R55" s="7"/>
      <c r="S55" s="7">
        <f t="shared" si="4"/>
        <v>150</v>
      </c>
      <c r="T55" s="7">
        <v>50.0</v>
      </c>
      <c r="U55" s="7"/>
      <c r="V55" s="7">
        <f t="shared" si="5"/>
        <v>50</v>
      </c>
      <c r="W55" s="7">
        <v>50.0</v>
      </c>
      <c r="X55" s="7"/>
      <c r="Y55" s="7">
        <f t="shared" si="6"/>
        <v>50</v>
      </c>
      <c r="Z55" s="7">
        <v>50.0</v>
      </c>
      <c r="AA55" s="7"/>
      <c r="AB55" s="7">
        <f t="shared" si="7"/>
        <v>50</v>
      </c>
      <c r="AC55" s="7">
        <v>0.0</v>
      </c>
      <c r="AD55" s="7"/>
      <c r="AE55" s="7">
        <f t="shared" si="8"/>
        <v>0</v>
      </c>
      <c r="AF55" s="10"/>
      <c r="AG55" s="10"/>
      <c r="AH55" s="10"/>
      <c r="AI55" s="10"/>
    </row>
    <row r="56" ht="30.0" customHeight="1">
      <c r="A56" s="7">
        <v>54.0</v>
      </c>
      <c r="B56" s="7">
        <v>4.2013847E7</v>
      </c>
      <c r="C56" s="7">
        <v>24.0</v>
      </c>
      <c r="D56" s="7">
        <v>10.0</v>
      </c>
      <c r="E56" s="8" t="s">
        <v>115</v>
      </c>
      <c r="F56" s="9" t="s">
        <v>116</v>
      </c>
      <c r="G56" s="7" t="s">
        <v>27</v>
      </c>
      <c r="H56" s="7">
        <v>90.0</v>
      </c>
      <c r="I56" s="7">
        <v>50.0</v>
      </c>
      <c r="J56" s="7">
        <f t="shared" si="1"/>
        <v>90</v>
      </c>
      <c r="K56" s="7">
        <v>20.0</v>
      </c>
      <c r="L56" s="7"/>
      <c r="M56" s="7">
        <f t="shared" si="2"/>
        <v>20</v>
      </c>
      <c r="N56" s="7">
        <v>0.0</v>
      </c>
      <c r="O56" s="7"/>
      <c r="P56" s="7">
        <f t="shared" si="3"/>
        <v>0</v>
      </c>
      <c r="Q56" s="7">
        <v>25.0</v>
      </c>
      <c r="R56" s="7"/>
      <c r="S56" s="7">
        <f t="shared" si="4"/>
        <v>25</v>
      </c>
      <c r="T56" s="7">
        <v>15.0</v>
      </c>
      <c r="U56" s="7"/>
      <c r="V56" s="7">
        <f t="shared" si="5"/>
        <v>15</v>
      </c>
      <c r="W56" s="7">
        <v>15.0</v>
      </c>
      <c r="X56" s="7"/>
      <c r="Y56" s="7">
        <f t="shared" si="6"/>
        <v>15</v>
      </c>
      <c r="Z56" s="7">
        <v>15.0</v>
      </c>
      <c r="AA56" s="7"/>
      <c r="AB56" s="7">
        <f t="shared" si="7"/>
        <v>15</v>
      </c>
      <c r="AC56" s="7">
        <v>0.0</v>
      </c>
      <c r="AD56" s="7"/>
      <c r="AE56" s="7">
        <f t="shared" si="8"/>
        <v>0</v>
      </c>
      <c r="AF56" s="10"/>
      <c r="AG56" s="10"/>
      <c r="AH56" s="10"/>
      <c r="AI56" s="10"/>
    </row>
    <row r="57" ht="30.0" customHeight="1">
      <c r="A57" s="7">
        <v>55.0</v>
      </c>
      <c r="B57" s="7">
        <v>4.2013859E7</v>
      </c>
      <c r="C57" s="7">
        <v>24.0</v>
      </c>
      <c r="D57" s="7">
        <v>10.0</v>
      </c>
      <c r="E57" s="8" t="s">
        <v>117</v>
      </c>
      <c r="F57" s="9" t="s">
        <v>118</v>
      </c>
      <c r="G57" s="7" t="s">
        <v>27</v>
      </c>
      <c r="H57" s="7">
        <v>20.0</v>
      </c>
      <c r="I57" s="7">
        <v>9.0</v>
      </c>
      <c r="J57" s="7">
        <f t="shared" si="1"/>
        <v>20</v>
      </c>
      <c r="K57" s="7">
        <v>10.0</v>
      </c>
      <c r="L57" s="7"/>
      <c r="M57" s="7">
        <f t="shared" si="2"/>
        <v>10</v>
      </c>
      <c r="N57" s="7">
        <v>0.0</v>
      </c>
      <c r="O57" s="7"/>
      <c r="P57" s="7">
        <f t="shared" si="3"/>
        <v>0</v>
      </c>
      <c r="Q57" s="7">
        <v>10.0</v>
      </c>
      <c r="R57" s="7"/>
      <c r="S57" s="7">
        <f t="shared" si="4"/>
        <v>10</v>
      </c>
      <c r="T57" s="7">
        <v>0.0</v>
      </c>
      <c r="U57" s="7"/>
      <c r="V57" s="7">
        <f t="shared" si="5"/>
        <v>0</v>
      </c>
      <c r="W57" s="7">
        <v>0.0</v>
      </c>
      <c r="X57" s="7"/>
      <c r="Y57" s="7">
        <f t="shared" si="6"/>
        <v>0</v>
      </c>
      <c r="Z57" s="7">
        <v>0.0</v>
      </c>
      <c r="AA57" s="7"/>
      <c r="AB57" s="7">
        <f t="shared" si="7"/>
        <v>0</v>
      </c>
      <c r="AC57" s="7">
        <v>0.0</v>
      </c>
      <c r="AD57" s="7"/>
      <c r="AE57" s="7">
        <f t="shared" si="8"/>
        <v>0</v>
      </c>
      <c r="AF57" s="10"/>
      <c r="AG57" s="10"/>
      <c r="AH57" s="10"/>
      <c r="AI57" s="10"/>
    </row>
    <row r="58" ht="30.0" customHeight="1">
      <c r="A58" s="7">
        <v>56.0</v>
      </c>
      <c r="B58" s="7">
        <v>4.2350013E7</v>
      </c>
      <c r="C58" s="7">
        <v>24.0</v>
      </c>
      <c r="D58" s="7">
        <v>70.0</v>
      </c>
      <c r="E58" s="8" t="s">
        <v>119</v>
      </c>
      <c r="F58" s="9" t="s">
        <v>120</v>
      </c>
      <c r="G58" s="7" t="s">
        <v>121</v>
      </c>
      <c r="H58" s="7">
        <v>25.0</v>
      </c>
      <c r="I58" s="7">
        <v>15.0</v>
      </c>
      <c r="J58" s="7">
        <f t="shared" si="1"/>
        <v>24</v>
      </c>
      <c r="K58" s="7">
        <v>0.0</v>
      </c>
      <c r="L58" s="7"/>
      <c r="M58" s="7">
        <f t="shared" si="2"/>
        <v>0</v>
      </c>
      <c r="N58" s="7">
        <v>20.0</v>
      </c>
      <c r="O58" s="7"/>
      <c r="P58" s="7">
        <f t="shared" si="3"/>
        <v>20</v>
      </c>
      <c r="Q58" s="7">
        <v>4.0</v>
      </c>
      <c r="R58" s="7"/>
      <c r="S58" s="7">
        <f t="shared" si="4"/>
        <v>4</v>
      </c>
      <c r="T58" s="7">
        <v>0.0</v>
      </c>
      <c r="U58" s="7"/>
      <c r="V58" s="7">
        <f t="shared" si="5"/>
        <v>0</v>
      </c>
      <c r="W58" s="7">
        <v>0.0</v>
      </c>
      <c r="X58" s="7"/>
      <c r="Y58" s="7">
        <f t="shared" si="6"/>
        <v>0</v>
      </c>
      <c r="Z58" s="7">
        <v>0.0</v>
      </c>
      <c r="AA58" s="7"/>
      <c r="AB58" s="7">
        <f t="shared" si="7"/>
        <v>0</v>
      </c>
      <c r="AC58" s="7">
        <v>0.0</v>
      </c>
      <c r="AD58" s="7"/>
      <c r="AE58" s="7">
        <f t="shared" si="8"/>
        <v>0</v>
      </c>
      <c r="AF58" s="10"/>
      <c r="AG58" s="10"/>
      <c r="AH58" s="10"/>
      <c r="AI58" s="10"/>
    </row>
    <row r="59" ht="30.0" customHeight="1">
      <c r="A59" s="7">
        <v>57.0</v>
      </c>
      <c r="B59" s="7">
        <v>4.7983516E7</v>
      </c>
      <c r="C59" s="7">
        <v>23.0</v>
      </c>
      <c r="D59" s="7">
        <v>10.0</v>
      </c>
      <c r="E59" s="8" t="s">
        <v>122</v>
      </c>
      <c r="F59" s="9" t="s">
        <v>123</v>
      </c>
      <c r="G59" s="7" t="s">
        <v>121</v>
      </c>
      <c r="H59" s="7">
        <v>16.0</v>
      </c>
      <c r="I59" s="7">
        <v>8.0</v>
      </c>
      <c r="J59" s="7">
        <f t="shared" si="1"/>
        <v>16</v>
      </c>
      <c r="K59" s="7">
        <v>16.0</v>
      </c>
      <c r="L59" s="7"/>
      <c r="M59" s="7">
        <f t="shared" si="2"/>
        <v>16</v>
      </c>
      <c r="N59" s="7">
        <v>0.0</v>
      </c>
      <c r="O59" s="7"/>
      <c r="P59" s="7">
        <f t="shared" si="3"/>
        <v>0</v>
      </c>
      <c r="Q59" s="7">
        <v>0.0</v>
      </c>
      <c r="R59" s="7"/>
      <c r="S59" s="7">
        <f t="shared" si="4"/>
        <v>0</v>
      </c>
      <c r="T59" s="7">
        <v>0.0</v>
      </c>
      <c r="U59" s="7"/>
      <c r="V59" s="7">
        <f t="shared" si="5"/>
        <v>0</v>
      </c>
      <c r="W59" s="7">
        <v>0.0</v>
      </c>
      <c r="X59" s="7"/>
      <c r="Y59" s="7">
        <f t="shared" si="6"/>
        <v>0</v>
      </c>
      <c r="Z59" s="7">
        <v>0.0</v>
      </c>
      <c r="AA59" s="7"/>
      <c r="AB59" s="7">
        <f t="shared" si="7"/>
        <v>0</v>
      </c>
      <c r="AC59" s="7">
        <v>0.0</v>
      </c>
      <c r="AD59" s="7"/>
      <c r="AE59" s="7">
        <f t="shared" si="8"/>
        <v>0</v>
      </c>
      <c r="AF59" s="7">
        <v>36.0</v>
      </c>
      <c r="AG59" s="7">
        <v>25.0</v>
      </c>
      <c r="AH59" s="7">
        <v>36.0</v>
      </c>
      <c r="AI59" s="11">
        <v>0.0</v>
      </c>
    </row>
    <row r="60" ht="30.0" customHeight="1">
      <c r="A60" s="7">
        <v>58.0</v>
      </c>
      <c r="B60" s="7">
        <v>7.503081E7</v>
      </c>
      <c r="C60" s="7">
        <v>24.0</v>
      </c>
      <c r="D60" s="7">
        <v>70.0</v>
      </c>
      <c r="E60" s="8" t="s">
        <v>124</v>
      </c>
      <c r="F60" s="9" t="s">
        <v>125</v>
      </c>
      <c r="G60" s="7" t="s">
        <v>27</v>
      </c>
      <c r="H60" s="7">
        <v>500.0</v>
      </c>
      <c r="I60" s="7">
        <v>2.0</v>
      </c>
      <c r="J60" s="7">
        <f t="shared" si="1"/>
        <v>300</v>
      </c>
      <c r="K60" s="7">
        <v>300.0</v>
      </c>
      <c r="L60" s="7"/>
      <c r="M60" s="7">
        <f t="shared" si="2"/>
        <v>300</v>
      </c>
      <c r="N60" s="7">
        <v>0.0</v>
      </c>
      <c r="O60" s="7"/>
      <c r="P60" s="7">
        <f t="shared" si="3"/>
        <v>0</v>
      </c>
      <c r="Q60" s="7">
        <v>0.0</v>
      </c>
      <c r="R60" s="7"/>
      <c r="S60" s="7">
        <f t="shared" si="4"/>
        <v>0</v>
      </c>
      <c r="T60" s="7">
        <v>0.0</v>
      </c>
      <c r="U60" s="7"/>
      <c r="V60" s="7">
        <f t="shared" si="5"/>
        <v>0</v>
      </c>
      <c r="W60" s="7">
        <v>0.0</v>
      </c>
      <c r="X60" s="7"/>
      <c r="Y60" s="7">
        <f t="shared" si="6"/>
        <v>0</v>
      </c>
      <c r="Z60" s="7">
        <v>0.0</v>
      </c>
      <c r="AA60" s="7"/>
      <c r="AB60" s="7">
        <f t="shared" si="7"/>
        <v>0</v>
      </c>
      <c r="AC60" s="7">
        <v>0.0</v>
      </c>
      <c r="AD60" s="7"/>
      <c r="AE60" s="7">
        <f t="shared" si="8"/>
        <v>0</v>
      </c>
      <c r="AF60" s="10"/>
      <c r="AG60" s="10"/>
      <c r="AH60" s="10"/>
      <c r="AI60" s="10"/>
    </row>
    <row r="61" ht="30.0" customHeight="1">
      <c r="A61" s="7">
        <v>59.0</v>
      </c>
      <c r="B61" s="7">
        <v>7.420001E7</v>
      </c>
      <c r="C61" s="7">
        <v>24.0</v>
      </c>
      <c r="D61" s="7">
        <v>70.0</v>
      </c>
      <c r="E61" s="8" t="s">
        <v>126</v>
      </c>
      <c r="F61" s="9" t="s">
        <v>127</v>
      </c>
      <c r="G61" s="7" t="s">
        <v>53</v>
      </c>
      <c r="H61" s="7">
        <v>30.0</v>
      </c>
      <c r="I61" s="11">
        <v>0.0</v>
      </c>
      <c r="J61" s="7">
        <f t="shared" si="1"/>
        <v>15</v>
      </c>
      <c r="K61" s="7">
        <v>15.0</v>
      </c>
      <c r="L61" s="7"/>
      <c r="M61" s="7">
        <f t="shared" si="2"/>
        <v>15</v>
      </c>
      <c r="N61" s="7">
        <v>0.0</v>
      </c>
      <c r="O61" s="7"/>
      <c r="P61" s="7">
        <f t="shared" si="3"/>
        <v>0</v>
      </c>
      <c r="Q61" s="7">
        <v>0.0</v>
      </c>
      <c r="R61" s="7"/>
      <c r="S61" s="7">
        <f t="shared" si="4"/>
        <v>0</v>
      </c>
      <c r="T61" s="7">
        <v>0.0</v>
      </c>
      <c r="U61" s="7"/>
      <c r="V61" s="7">
        <f t="shared" si="5"/>
        <v>0</v>
      </c>
      <c r="W61" s="7">
        <v>0.0</v>
      </c>
      <c r="X61" s="7"/>
      <c r="Y61" s="7">
        <f t="shared" si="6"/>
        <v>0</v>
      </c>
      <c r="Z61" s="7">
        <v>0.0</v>
      </c>
      <c r="AA61" s="7"/>
      <c r="AB61" s="7">
        <f t="shared" si="7"/>
        <v>0</v>
      </c>
      <c r="AC61" s="7">
        <v>0.0</v>
      </c>
      <c r="AD61" s="7"/>
      <c r="AE61" s="7">
        <f t="shared" si="8"/>
        <v>0</v>
      </c>
      <c r="AF61" s="10"/>
      <c r="AG61" s="10"/>
      <c r="AH61" s="10"/>
      <c r="AI61" s="10"/>
    </row>
    <row r="62" ht="30.0" customHeight="1">
      <c r="A62" s="7">
        <v>60.0</v>
      </c>
      <c r="B62" s="7">
        <v>7.3090013E7</v>
      </c>
      <c r="C62" s="7">
        <v>24.0</v>
      </c>
      <c r="D62" s="7">
        <v>70.0</v>
      </c>
      <c r="E62" s="8" t="s">
        <v>128</v>
      </c>
      <c r="F62" s="9" t="s">
        <v>129</v>
      </c>
      <c r="G62" s="7" t="s">
        <v>27</v>
      </c>
      <c r="H62" s="7">
        <v>200.0</v>
      </c>
      <c r="I62" s="11">
        <v>0.0</v>
      </c>
      <c r="J62" s="7">
        <f t="shared" si="1"/>
        <v>100</v>
      </c>
      <c r="K62" s="7">
        <v>100.0</v>
      </c>
      <c r="L62" s="7"/>
      <c r="M62" s="7">
        <f t="shared" si="2"/>
        <v>100</v>
      </c>
      <c r="N62" s="7">
        <v>0.0</v>
      </c>
      <c r="O62" s="7"/>
      <c r="P62" s="7">
        <f t="shared" si="3"/>
        <v>0</v>
      </c>
      <c r="Q62" s="7">
        <v>0.0</v>
      </c>
      <c r="R62" s="7"/>
      <c r="S62" s="7">
        <f t="shared" si="4"/>
        <v>0</v>
      </c>
      <c r="T62" s="7">
        <v>0.0</v>
      </c>
      <c r="U62" s="7"/>
      <c r="V62" s="7">
        <f t="shared" si="5"/>
        <v>0</v>
      </c>
      <c r="W62" s="7">
        <v>0.0</v>
      </c>
      <c r="X62" s="7"/>
      <c r="Y62" s="7">
        <f t="shared" si="6"/>
        <v>0</v>
      </c>
      <c r="Z62" s="7">
        <v>0.0</v>
      </c>
      <c r="AA62" s="7"/>
      <c r="AB62" s="7">
        <f t="shared" si="7"/>
        <v>0</v>
      </c>
      <c r="AC62" s="7">
        <v>0.0</v>
      </c>
      <c r="AD62" s="7"/>
      <c r="AE62" s="7">
        <f t="shared" si="8"/>
        <v>0</v>
      </c>
      <c r="AF62" s="10"/>
      <c r="AG62" s="10"/>
      <c r="AH62" s="10"/>
      <c r="AI62" s="10"/>
    </row>
    <row r="63" ht="30.0" customHeight="1">
      <c r="A63" s="7">
        <v>61.0</v>
      </c>
      <c r="B63" s="7">
        <v>7.3090037E7</v>
      </c>
      <c r="C63" s="7">
        <v>24.0</v>
      </c>
      <c r="D63" s="7">
        <v>70.0</v>
      </c>
      <c r="E63" s="8" t="s">
        <v>130</v>
      </c>
      <c r="F63" s="9" t="s">
        <v>131</v>
      </c>
      <c r="G63" s="7" t="s">
        <v>27</v>
      </c>
      <c r="H63" s="7">
        <v>200.0</v>
      </c>
      <c r="I63" s="11">
        <v>0.0</v>
      </c>
      <c r="J63" s="7">
        <f t="shared" si="1"/>
        <v>100</v>
      </c>
      <c r="K63" s="7">
        <v>100.0</v>
      </c>
      <c r="L63" s="7"/>
      <c r="M63" s="7">
        <f t="shared" si="2"/>
        <v>100</v>
      </c>
      <c r="N63" s="7">
        <v>0.0</v>
      </c>
      <c r="O63" s="7"/>
      <c r="P63" s="7">
        <f t="shared" si="3"/>
        <v>0</v>
      </c>
      <c r="Q63" s="7">
        <v>0.0</v>
      </c>
      <c r="R63" s="7"/>
      <c r="S63" s="7">
        <f t="shared" si="4"/>
        <v>0</v>
      </c>
      <c r="T63" s="7">
        <v>0.0</v>
      </c>
      <c r="U63" s="7"/>
      <c r="V63" s="7">
        <f t="shared" si="5"/>
        <v>0</v>
      </c>
      <c r="W63" s="7">
        <v>0.0</v>
      </c>
      <c r="X63" s="7"/>
      <c r="Y63" s="7">
        <f t="shared" si="6"/>
        <v>0</v>
      </c>
      <c r="Z63" s="7">
        <v>0.0</v>
      </c>
      <c r="AA63" s="7"/>
      <c r="AB63" s="7">
        <f t="shared" si="7"/>
        <v>0</v>
      </c>
      <c r="AC63" s="7">
        <v>0.0</v>
      </c>
      <c r="AD63" s="7"/>
      <c r="AE63" s="7">
        <f t="shared" si="8"/>
        <v>0</v>
      </c>
      <c r="AF63" s="10"/>
      <c r="AG63" s="10"/>
      <c r="AH63" s="10"/>
      <c r="AI63" s="10"/>
    </row>
    <row r="64" ht="30.0" customHeight="1">
      <c r="A64" s="7">
        <v>62.0</v>
      </c>
      <c r="B64" s="7">
        <v>7.309005E7</v>
      </c>
      <c r="C64" s="7">
        <v>24.0</v>
      </c>
      <c r="D64" s="7">
        <v>70.0</v>
      </c>
      <c r="E64" s="8" t="s">
        <v>132</v>
      </c>
      <c r="F64" s="9" t="s">
        <v>133</v>
      </c>
      <c r="G64" s="7" t="s">
        <v>27</v>
      </c>
      <c r="H64" s="7">
        <v>200.0</v>
      </c>
      <c r="I64" s="11">
        <v>0.0</v>
      </c>
      <c r="J64" s="7">
        <f t="shared" si="1"/>
        <v>100</v>
      </c>
      <c r="K64" s="7">
        <v>100.0</v>
      </c>
      <c r="L64" s="7"/>
      <c r="M64" s="7">
        <f t="shared" si="2"/>
        <v>100</v>
      </c>
      <c r="N64" s="7">
        <v>0.0</v>
      </c>
      <c r="O64" s="7"/>
      <c r="P64" s="7">
        <f t="shared" si="3"/>
        <v>0</v>
      </c>
      <c r="Q64" s="7">
        <v>0.0</v>
      </c>
      <c r="R64" s="7"/>
      <c r="S64" s="7">
        <f t="shared" si="4"/>
        <v>0</v>
      </c>
      <c r="T64" s="7">
        <v>0.0</v>
      </c>
      <c r="U64" s="7"/>
      <c r="V64" s="7">
        <f t="shared" si="5"/>
        <v>0</v>
      </c>
      <c r="W64" s="7">
        <v>0.0</v>
      </c>
      <c r="X64" s="7"/>
      <c r="Y64" s="7">
        <f t="shared" si="6"/>
        <v>0</v>
      </c>
      <c r="Z64" s="7">
        <v>0.0</v>
      </c>
      <c r="AA64" s="7"/>
      <c r="AB64" s="7">
        <f t="shared" si="7"/>
        <v>0</v>
      </c>
      <c r="AC64" s="7">
        <v>0.0</v>
      </c>
      <c r="AD64" s="7"/>
      <c r="AE64" s="7">
        <f t="shared" si="8"/>
        <v>0</v>
      </c>
      <c r="AF64" s="10"/>
      <c r="AG64" s="10"/>
      <c r="AH64" s="10"/>
      <c r="AI64" s="10"/>
    </row>
    <row r="65" ht="30.0" customHeight="1">
      <c r="A65" s="7">
        <v>63.0</v>
      </c>
      <c r="B65" s="7">
        <v>7.3090025E7</v>
      </c>
      <c r="C65" s="7">
        <v>24.0</v>
      </c>
      <c r="D65" s="7">
        <v>70.0</v>
      </c>
      <c r="E65" s="8" t="s">
        <v>134</v>
      </c>
      <c r="F65" s="9" t="s">
        <v>135</v>
      </c>
      <c r="G65" s="7" t="s">
        <v>27</v>
      </c>
      <c r="H65" s="7">
        <v>200.0</v>
      </c>
      <c r="I65" s="11">
        <v>0.0</v>
      </c>
      <c r="J65" s="7">
        <f t="shared" si="1"/>
        <v>100</v>
      </c>
      <c r="K65" s="7">
        <v>100.0</v>
      </c>
      <c r="L65" s="7"/>
      <c r="M65" s="7">
        <f t="shared" si="2"/>
        <v>100</v>
      </c>
      <c r="N65" s="7">
        <v>0.0</v>
      </c>
      <c r="O65" s="7"/>
      <c r="P65" s="7">
        <f t="shared" si="3"/>
        <v>0</v>
      </c>
      <c r="Q65" s="7">
        <v>0.0</v>
      </c>
      <c r="R65" s="7"/>
      <c r="S65" s="7">
        <f t="shared" si="4"/>
        <v>0</v>
      </c>
      <c r="T65" s="7">
        <v>0.0</v>
      </c>
      <c r="U65" s="7"/>
      <c r="V65" s="7">
        <f t="shared" si="5"/>
        <v>0</v>
      </c>
      <c r="W65" s="7">
        <v>0.0</v>
      </c>
      <c r="X65" s="7"/>
      <c r="Y65" s="7">
        <f t="shared" si="6"/>
        <v>0</v>
      </c>
      <c r="Z65" s="7">
        <v>0.0</v>
      </c>
      <c r="AA65" s="7"/>
      <c r="AB65" s="7">
        <f t="shared" si="7"/>
        <v>0</v>
      </c>
      <c r="AC65" s="7">
        <v>0.0</v>
      </c>
      <c r="AD65" s="7"/>
      <c r="AE65" s="7">
        <f t="shared" si="8"/>
        <v>0</v>
      </c>
      <c r="AF65" s="10"/>
      <c r="AG65" s="10"/>
      <c r="AH65" s="10"/>
      <c r="AI65" s="10"/>
    </row>
    <row r="66" ht="30.0" customHeight="1">
      <c r="A66" s="7">
        <v>64.0</v>
      </c>
      <c r="B66" s="7">
        <v>7.306001E7</v>
      </c>
      <c r="C66" s="7">
        <v>23.0</v>
      </c>
      <c r="D66" s="7">
        <v>10.0</v>
      </c>
      <c r="E66" s="8" t="s">
        <v>136</v>
      </c>
      <c r="F66" s="9" t="s">
        <v>137</v>
      </c>
      <c r="G66" s="7" t="s">
        <v>27</v>
      </c>
      <c r="H66" s="7">
        <v>500.0</v>
      </c>
      <c r="I66" s="7">
        <v>222.0</v>
      </c>
      <c r="J66" s="7">
        <f t="shared" si="1"/>
        <v>500</v>
      </c>
      <c r="K66" s="7">
        <v>500.0</v>
      </c>
      <c r="L66" s="7"/>
      <c r="M66" s="7">
        <f t="shared" si="2"/>
        <v>500</v>
      </c>
      <c r="N66" s="7">
        <v>0.0</v>
      </c>
      <c r="O66" s="7"/>
      <c r="P66" s="7">
        <f t="shared" si="3"/>
        <v>0</v>
      </c>
      <c r="Q66" s="7">
        <v>0.0</v>
      </c>
      <c r="R66" s="7"/>
      <c r="S66" s="7">
        <f t="shared" si="4"/>
        <v>0</v>
      </c>
      <c r="T66" s="7">
        <v>0.0</v>
      </c>
      <c r="U66" s="7"/>
      <c r="V66" s="7">
        <f t="shared" si="5"/>
        <v>0</v>
      </c>
      <c r="W66" s="7">
        <v>0.0</v>
      </c>
      <c r="X66" s="7"/>
      <c r="Y66" s="7">
        <f t="shared" si="6"/>
        <v>0</v>
      </c>
      <c r="Z66" s="7">
        <v>0.0</v>
      </c>
      <c r="AA66" s="7"/>
      <c r="AB66" s="7">
        <f t="shared" si="7"/>
        <v>0</v>
      </c>
      <c r="AC66" s="7">
        <v>0.0</v>
      </c>
      <c r="AD66" s="7"/>
      <c r="AE66" s="7">
        <f t="shared" si="8"/>
        <v>0</v>
      </c>
      <c r="AF66" s="10"/>
      <c r="AG66" s="10"/>
      <c r="AH66" s="10"/>
      <c r="AI66" s="10"/>
    </row>
    <row r="67" ht="30.0" customHeight="1">
      <c r="A67" s="7">
        <v>65.0</v>
      </c>
      <c r="B67" s="7">
        <v>7.2010319E7</v>
      </c>
      <c r="C67" s="7">
        <v>23.0</v>
      </c>
      <c r="D67" s="7">
        <v>10.0</v>
      </c>
      <c r="E67" s="8" t="s">
        <v>138</v>
      </c>
      <c r="F67" s="9" t="s">
        <v>139</v>
      </c>
      <c r="G67" s="7" t="s">
        <v>27</v>
      </c>
      <c r="H67" s="7">
        <v>60.0</v>
      </c>
      <c r="I67" s="7">
        <v>85.0</v>
      </c>
      <c r="J67" s="7">
        <f t="shared" si="1"/>
        <v>60</v>
      </c>
      <c r="K67" s="7">
        <v>15.0</v>
      </c>
      <c r="L67" s="7"/>
      <c r="M67" s="7">
        <f t="shared" si="2"/>
        <v>15</v>
      </c>
      <c r="N67" s="7">
        <v>15.0</v>
      </c>
      <c r="O67" s="7"/>
      <c r="P67" s="7">
        <f t="shared" si="3"/>
        <v>15</v>
      </c>
      <c r="Q67" s="7">
        <v>15.0</v>
      </c>
      <c r="R67" s="7"/>
      <c r="S67" s="7">
        <f t="shared" si="4"/>
        <v>15</v>
      </c>
      <c r="T67" s="7">
        <v>5.0</v>
      </c>
      <c r="U67" s="7"/>
      <c r="V67" s="7">
        <f t="shared" si="5"/>
        <v>5</v>
      </c>
      <c r="W67" s="7">
        <v>5.0</v>
      </c>
      <c r="X67" s="7"/>
      <c r="Y67" s="7">
        <f t="shared" si="6"/>
        <v>5</v>
      </c>
      <c r="Z67" s="7">
        <v>5.0</v>
      </c>
      <c r="AA67" s="7"/>
      <c r="AB67" s="7">
        <f t="shared" si="7"/>
        <v>5</v>
      </c>
      <c r="AC67" s="7">
        <v>0.0</v>
      </c>
      <c r="AD67" s="7"/>
      <c r="AE67" s="7">
        <f t="shared" si="8"/>
        <v>0</v>
      </c>
      <c r="AF67" s="10"/>
      <c r="AG67" s="10"/>
      <c r="AH67" s="10"/>
      <c r="AI67" s="10"/>
    </row>
    <row r="68" ht="30.0" customHeight="1">
      <c r="A68" s="7">
        <v>66.0</v>
      </c>
      <c r="B68" s="7">
        <v>6.8521911E7</v>
      </c>
      <c r="C68" s="7">
        <v>24.0</v>
      </c>
      <c r="D68" s="7">
        <v>70.0</v>
      </c>
      <c r="E68" s="8" t="s">
        <v>140</v>
      </c>
      <c r="F68" s="9" t="s">
        <v>141</v>
      </c>
      <c r="G68" s="7" t="s">
        <v>27</v>
      </c>
      <c r="H68" s="7">
        <v>9.0</v>
      </c>
      <c r="I68" s="7">
        <v>2.0</v>
      </c>
      <c r="J68" s="7">
        <f t="shared" si="1"/>
        <v>9</v>
      </c>
      <c r="K68" s="7">
        <v>9.0</v>
      </c>
      <c r="L68" s="7"/>
      <c r="M68" s="7">
        <f t="shared" si="2"/>
        <v>9</v>
      </c>
      <c r="N68" s="7">
        <v>0.0</v>
      </c>
      <c r="O68" s="7"/>
      <c r="P68" s="7">
        <f t="shared" si="3"/>
        <v>0</v>
      </c>
      <c r="Q68" s="7">
        <v>0.0</v>
      </c>
      <c r="R68" s="7"/>
      <c r="S68" s="7">
        <f t="shared" si="4"/>
        <v>0</v>
      </c>
      <c r="T68" s="7">
        <v>0.0</v>
      </c>
      <c r="U68" s="7"/>
      <c r="V68" s="7">
        <f t="shared" si="5"/>
        <v>0</v>
      </c>
      <c r="W68" s="7">
        <v>0.0</v>
      </c>
      <c r="X68" s="7"/>
      <c r="Y68" s="7">
        <f t="shared" si="6"/>
        <v>0</v>
      </c>
      <c r="Z68" s="7">
        <v>0.0</v>
      </c>
      <c r="AA68" s="7"/>
      <c r="AB68" s="7">
        <f t="shared" si="7"/>
        <v>0</v>
      </c>
      <c r="AC68" s="7">
        <v>0.0</v>
      </c>
      <c r="AD68" s="7"/>
      <c r="AE68" s="7">
        <f t="shared" si="8"/>
        <v>0</v>
      </c>
      <c r="AF68" s="10"/>
      <c r="AG68" s="10"/>
      <c r="AH68" s="10"/>
      <c r="AI68" s="10"/>
    </row>
    <row r="69" ht="30.0" customHeight="1">
      <c r="A69" s="7">
        <v>67.0</v>
      </c>
      <c r="B69" s="7">
        <v>4.7420674E7</v>
      </c>
      <c r="C69" s="7">
        <v>24.0</v>
      </c>
      <c r="D69" s="7">
        <v>70.0</v>
      </c>
      <c r="E69" s="8" t="s">
        <v>142</v>
      </c>
      <c r="F69" s="9" t="s">
        <v>143</v>
      </c>
      <c r="G69" s="7" t="s">
        <v>27</v>
      </c>
      <c r="H69" s="7">
        <v>2.0</v>
      </c>
      <c r="I69" s="11">
        <v>0.0</v>
      </c>
      <c r="J69" s="7">
        <f t="shared" si="1"/>
        <v>2</v>
      </c>
      <c r="K69" s="7">
        <v>2.0</v>
      </c>
      <c r="L69" s="7"/>
      <c r="M69" s="7">
        <f t="shared" si="2"/>
        <v>2</v>
      </c>
      <c r="N69" s="7">
        <v>0.0</v>
      </c>
      <c r="O69" s="7"/>
      <c r="P69" s="7">
        <f t="shared" si="3"/>
        <v>0</v>
      </c>
      <c r="Q69" s="7">
        <v>0.0</v>
      </c>
      <c r="R69" s="7"/>
      <c r="S69" s="7">
        <f t="shared" si="4"/>
        <v>0</v>
      </c>
      <c r="T69" s="7">
        <v>0.0</v>
      </c>
      <c r="U69" s="7"/>
      <c r="V69" s="7">
        <f t="shared" si="5"/>
        <v>0</v>
      </c>
      <c r="W69" s="7">
        <v>0.0</v>
      </c>
      <c r="X69" s="7"/>
      <c r="Y69" s="7">
        <f t="shared" si="6"/>
        <v>0</v>
      </c>
      <c r="Z69" s="7">
        <v>0.0</v>
      </c>
      <c r="AA69" s="7"/>
      <c r="AB69" s="7">
        <f t="shared" si="7"/>
        <v>0</v>
      </c>
      <c r="AC69" s="7">
        <v>0.0</v>
      </c>
      <c r="AD69" s="7"/>
      <c r="AE69" s="7">
        <f t="shared" si="8"/>
        <v>0</v>
      </c>
      <c r="AF69" s="11">
        <v>0.0</v>
      </c>
      <c r="AG69" s="7">
        <v>2.0</v>
      </c>
      <c r="AH69" s="11">
        <v>0.0</v>
      </c>
      <c r="AI69" s="11">
        <v>0.0</v>
      </c>
    </row>
    <row r="70" ht="30.0" customHeight="1">
      <c r="A70" s="7">
        <v>68.0</v>
      </c>
      <c r="B70" s="7">
        <v>4.3229943E7</v>
      </c>
      <c r="C70" s="7">
        <v>24.0</v>
      </c>
      <c r="D70" s="7">
        <v>70.0</v>
      </c>
      <c r="E70" s="8" t="s">
        <v>144</v>
      </c>
      <c r="F70" s="9" t="s">
        <v>145</v>
      </c>
      <c r="G70" s="7" t="s">
        <v>27</v>
      </c>
      <c r="H70" s="7">
        <v>18.0</v>
      </c>
      <c r="I70" s="7">
        <v>9.0</v>
      </c>
      <c r="J70" s="7">
        <f t="shared" si="1"/>
        <v>18</v>
      </c>
      <c r="K70" s="7">
        <v>4.0</v>
      </c>
      <c r="L70" s="7"/>
      <c r="M70" s="7">
        <f t="shared" si="2"/>
        <v>4</v>
      </c>
      <c r="N70" s="7">
        <v>8.0</v>
      </c>
      <c r="O70" s="7"/>
      <c r="P70" s="7">
        <f t="shared" si="3"/>
        <v>8</v>
      </c>
      <c r="Q70" s="7">
        <v>6.0</v>
      </c>
      <c r="R70" s="7"/>
      <c r="S70" s="7">
        <f t="shared" si="4"/>
        <v>6</v>
      </c>
      <c r="T70" s="7">
        <v>0.0</v>
      </c>
      <c r="U70" s="7"/>
      <c r="V70" s="7">
        <f t="shared" si="5"/>
        <v>0</v>
      </c>
      <c r="W70" s="7">
        <v>0.0</v>
      </c>
      <c r="X70" s="7"/>
      <c r="Y70" s="7">
        <f t="shared" si="6"/>
        <v>0</v>
      </c>
      <c r="Z70" s="7">
        <v>0.0</v>
      </c>
      <c r="AA70" s="7"/>
      <c r="AB70" s="7">
        <f t="shared" si="7"/>
        <v>0</v>
      </c>
      <c r="AC70" s="7">
        <v>0.0</v>
      </c>
      <c r="AD70" s="7"/>
      <c r="AE70" s="7">
        <f t="shared" si="8"/>
        <v>0</v>
      </c>
      <c r="AF70" s="10"/>
      <c r="AG70" s="10"/>
      <c r="AH70" s="10"/>
      <c r="AI70" s="10"/>
    </row>
    <row r="71" ht="30.0" customHeight="1">
      <c r="A71" s="7">
        <v>69.0</v>
      </c>
      <c r="B71" s="7">
        <v>4.3900318E7</v>
      </c>
      <c r="C71" s="7">
        <v>24.0</v>
      </c>
      <c r="D71" s="7">
        <v>70.0</v>
      </c>
      <c r="E71" s="8" t="s">
        <v>146</v>
      </c>
      <c r="F71" s="9" t="s">
        <v>147</v>
      </c>
      <c r="G71" s="7" t="s">
        <v>27</v>
      </c>
      <c r="H71" s="7">
        <v>2.0</v>
      </c>
      <c r="I71" s="11">
        <v>0.0</v>
      </c>
      <c r="J71" s="7">
        <f t="shared" si="1"/>
        <v>2</v>
      </c>
      <c r="K71" s="7">
        <v>0.0</v>
      </c>
      <c r="L71" s="7"/>
      <c r="M71" s="7">
        <f t="shared" si="2"/>
        <v>0</v>
      </c>
      <c r="N71" s="7">
        <v>2.0</v>
      </c>
      <c r="O71" s="7"/>
      <c r="P71" s="7">
        <f t="shared" si="3"/>
        <v>2</v>
      </c>
      <c r="Q71" s="7">
        <v>0.0</v>
      </c>
      <c r="R71" s="7"/>
      <c r="S71" s="7">
        <f t="shared" si="4"/>
        <v>0</v>
      </c>
      <c r="T71" s="7">
        <v>0.0</v>
      </c>
      <c r="U71" s="7"/>
      <c r="V71" s="7">
        <f t="shared" si="5"/>
        <v>0</v>
      </c>
      <c r="W71" s="7">
        <v>0.0</v>
      </c>
      <c r="X71" s="7"/>
      <c r="Y71" s="7">
        <f t="shared" si="6"/>
        <v>0</v>
      </c>
      <c r="Z71" s="7">
        <v>0.0</v>
      </c>
      <c r="AA71" s="7"/>
      <c r="AB71" s="7">
        <f t="shared" si="7"/>
        <v>0</v>
      </c>
      <c r="AC71" s="7">
        <v>0.0</v>
      </c>
      <c r="AD71" s="7"/>
      <c r="AE71" s="7">
        <f t="shared" si="8"/>
        <v>0</v>
      </c>
      <c r="AF71" s="7">
        <v>2.0</v>
      </c>
      <c r="AG71" s="7">
        <v>2.0</v>
      </c>
      <c r="AH71" s="7">
        <v>2.0</v>
      </c>
      <c r="AI71" s="11">
        <v>0.0</v>
      </c>
    </row>
    <row r="72" ht="30.0" customHeight="1">
      <c r="A72" s="7">
        <v>70.0</v>
      </c>
      <c r="B72" s="7">
        <v>4.390001E7</v>
      </c>
      <c r="C72" s="7">
        <v>23.0</v>
      </c>
      <c r="D72" s="7">
        <v>10.0</v>
      </c>
      <c r="E72" s="8" t="s">
        <v>148</v>
      </c>
      <c r="F72" s="9" t="s">
        <v>149</v>
      </c>
      <c r="G72" s="7" t="s">
        <v>27</v>
      </c>
      <c r="H72" s="7">
        <v>300.0</v>
      </c>
      <c r="I72" s="7">
        <v>75.0</v>
      </c>
      <c r="J72" s="7">
        <f t="shared" si="1"/>
        <v>125</v>
      </c>
      <c r="K72" s="7">
        <v>0.0</v>
      </c>
      <c r="L72" s="7"/>
      <c r="M72" s="7">
        <f t="shared" si="2"/>
        <v>0</v>
      </c>
      <c r="N72" s="7">
        <v>110.0</v>
      </c>
      <c r="O72" s="7"/>
      <c r="P72" s="7">
        <f t="shared" si="3"/>
        <v>110</v>
      </c>
      <c r="Q72" s="7">
        <v>0.0</v>
      </c>
      <c r="R72" s="7"/>
      <c r="S72" s="7">
        <f t="shared" si="4"/>
        <v>0</v>
      </c>
      <c r="T72" s="7">
        <v>0.0</v>
      </c>
      <c r="U72" s="7"/>
      <c r="V72" s="7">
        <f t="shared" si="5"/>
        <v>0</v>
      </c>
      <c r="W72" s="7">
        <v>0.0</v>
      </c>
      <c r="X72" s="7"/>
      <c r="Y72" s="7">
        <f t="shared" si="6"/>
        <v>0</v>
      </c>
      <c r="Z72" s="7">
        <v>15.0</v>
      </c>
      <c r="AA72" s="7"/>
      <c r="AB72" s="7">
        <f t="shared" si="7"/>
        <v>15</v>
      </c>
      <c r="AC72" s="7">
        <v>0.0</v>
      </c>
      <c r="AD72" s="7"/>
      <c r="AE72" s="7">
        <f t="shared" si="8"/>
        <v>0</v>
      </c>
      <c r="AF72" s="10"/>
      <c r="AG72" s="10"/>
      <c r="AH72" s="10"/>
      <c r="AI72" s="10"/>
    </row>
    <row r="73" ht="30.0" customHeight="1">
      <c r="A73" s="7">
        <v>71.0</v>
      </c>
      <c r="B73" s="7">
        <v>4.3010076E7</v>
      </c>
      <c r="C73" s="7">
        <v>23.0</v>
      </c>
      <c r="D73" s="7">
        <v>10.0</v>
      </c>
      <c r="E73" s="8" t="s">
        <v>150</v>
      </c>
      <c r="F73" s="9" t="s">
        <v>151</v>
      </c>
      <c r="G73" s="7" t="s">
        <v>27</v>
      </c>
      <c r="H73" s="7">
        <v>400.0</v>
      </c>
      <c r="I73" s="7">
        <v>193.0</v>
      </c>
      <c r="J73" s="7">
        <f t="shared" si="1"/>
        <v>230</v>
      </c>
      <c r="K73" s="7">
        <v>0.0</v>
      </c>
      <c r="L73" s="7"/>
      <c r="M73" s="7">
        <f t="shared" si="2"/>
        <v>0</v>
      </c>
      <c r="N73" s="7">
        <v>200.0</v>
      </c>
      <c r="O73" s="7"/>
      <c r="P73" s="7">
        <f t="shared" si="3"/>
        <v>200</v>
      </c>
      <c r="Q73" s="7">
        <v>0.0</v>
      </c>
      <c r="R73" s="7"/>
      <c r="S73" s="7">
        <f t="shared" si="4"/>
        <v>0</v>
      </c>
      <c r="T73" s="7">
        <v>0.0</v>
      </c>
      <c r="U73" s="7"/>
      <c r="V73" s="7">
        <f t="shared" si="5"/>
        <v>0</v>
      </c>
      <c r="W73" s="7">
        <v>0.0</v>
      </c>
      <c r="X73" s="7"/>
      <c r="Y73" s="7">
        <f t="shared" si="6"/>
        <v>0</v>
      </c>
      <c r="Z73" s="7">
        <v>30.0</v>
      </c>
      <c r="AA73" s="7"/>
      <c r="AB73" s="7">
        <f t="shared" si="7"/>
        <v>30</v>
      </c>
      <c r="AC73" s="7">
        <v>0.0</v>
      </c>
      <c r="AD73" s="7"/>
      <c r="AE73" s="7">
        <f t="shared" si="8"/>
        <v>0</v>
      </c>
      <c r="AF73" s="10"/>
      <c r="AG73" s="10"/>
      <c r="AH73" s="10"/>
      <c r="AI73" s="10"/>
    </row>
    <row r="74" ht="30.0" customHeight="1">
      <c r="A74" s="7">
        <v>72.0</v>
      </c>
      <c r="B74" s="7">
        <v>4.2160029E7</v>
      </c>
      <c r="C74" s="7">
        <v>24.0</v>
      </c>
      <c r="D74" s="7">
        <v>70.0</v>
      </c>
      <c r="E74" s="8" t="s">
        <v>152</v>
      </c>
      <c r="F74" s="9" t="s">
        <v>153</v>
      </c>
      <c r="G74" s="7" t="s">
        <v>27</v>
      </c>
      <c r="H74" s="7">
        <v>8.0</v>
      </c>
      <c r="I74" s="7">
        <v>19.0</v>
      </c>
      <c r="J74" s="7">
        <f t="shared" si="1"/>
        <v>8</v>
      </c>
      <c r="K74" s="7">
        <v>0.0</v>
      </c>
      <c r="L74" s="7"/>
      <c r="M74" s="7">
        <f t="shared" si="2"/>
        <v>0</v>
      </c>
      <c r="N74" s="7">
        <v>8.0</v>
      </c>
      <c r="O74" s="7"/>
      <c r="P74" s="7">
        <f t="shared" si="3"/>
        <v>8</v>
      </c>
      <c r="Q74" s="7">
        <v>0.0</v>
      </c>
      <c r="R74" s="7"/>
      <c r="S74" s="7">
        <f t="shared" si="4"/>
        <v>0</v>
      </c>
      <c r="T74" s="7">
        <v>0.0</v>
      </c>
      <c r="U74" s="7"/>
      <c r="V74" s="7">
        <f t="shared" si="5"/>
        <v>0</v>
      </c>
      <c r="W74" s="7">
        <v>0.0</v>
      </c>
      <c r="X74" s="7"/>
      <c r="Y74" s="7">
        <f t="shared" si="6"/>
        <v>0</v>
      </c>
      <c r="Z74" s="7">
        <v>0.0</v>
      </c>
      <c r="AA74" s="7"/>
      <c r="AB74" s="7">
        <f t="shared" si="7"/>
        <v>0</v>
      </c>
      <c r="AC74" s="7">
        <v>0.0</v>
      </c>
      <c r="AD74" s="7"/>
      <c r="AE74" s="7">
        <f t="shared" si="8"/>
        <v>0</v>
      </c>
      <c r="AF74" s="10"/>
      <c r="AG74" s="10"/>
      <c r="AH74" s="10"/>
      <c r="AI74" s="10"/>
    </row>
    <row r="75" ht="30.0" customHeight="1">
      <c r="A75" s="7">
        <v>73.0</v>
      </c>
      <c r="B75" s="7">
        <v>4.7420649E7</v>
      </c>
      <c r="C75" s="7">
        <v>24.0</v>
      </c>
      <c r="D75" s="7">
        <v>70.0</v>
      </c>
      <c r="E75" s="8" t="s">
        <v>154</v>
      </c>
      <c r="F75" s="9" t="s">
        <v>155</v>
      </c>
      <c r="G75" s="7" t="s">
        <v>27</v>
      </c>
      <c r="H75" s="7">
        <v>2.0</v>
      </c>
      <c r="I75" s="7">
        <v>1.0</v>
      </c>
      <c r="J75" s="7">
        <f t="shared" si="1"/>
        <v>2</v>
      </c>
      <c r="K75" s="7">
        <v>0.0</v>
      </c>
      <c r="L75" s="7"/>
      <c r="M75" s="7">
        <f t="shared" si="2"/>
        <v>0</v>
      </c>
      <c r="N75" s="7">
        <v>2.0</v>
      </c>
      <c r="O75" s="7"/>
      <c r="P75" s="7">
        <f t="shared" si="3"/>
        <v>2</v>
      </c>
      <c r="Q75" s="7">
        <v>0.0</v>
      </c>
      <c r="R75" s="7"/>
      <c r="S75" s="7">
        <f t="shared" si="4"/>
        <v>0</v>
      </c>
      <c r="T75" s="7">
        <v>0.0</v>
      </c>
      <c r="U75" s="7"/>
      <c r="V75" s="7">
        <f t="shared" si="5"/>
        <v>0</v>
      </c>
      <c r="W75" s="7">
        <v>0.0</v>
      </c>
      <c r="X75" s="7"/>
      <c r="Y75" s="7">
        <f t="shared" si="6"/>
        <v>0</v>
      </c>
      <c r="Z75" s="7">
        <v>0.0</v>
      </c>
      <c r="AA75" s="7"/>
      <c r="AB75" s="7">
        <f t="shared" si="7"/>
        <v>0</v>
      </c>
      <c r="AC75" s="7">
        <v>0.0</v>
      </c>
      <c r="AD75" s="7"/>
      <c r="AE75" s="7">
        <f t="shared" si="8"/>
        <v>0</v>
      </c>
      <c r="AF75" s="10"/>
      <c r="AG75" s="10"/>
      <c r="AH75" s="10"/>
      <c r="AI75" s="10"/>
    </row>
    <row r="76" ht="30.0" customHeight="1">
      <c r="A76" s="7">
        <v>74.0</v>
      </c>
      <c r="B76" s="7">
        <v>4.7420467E7</v>
      </c>
      <c r="C76" s="7">
        <v>24.0</v>
      </c>
      <c r="D76" s="7">
        <v>70.0</v>
      </c>
      <c r="E76" s="8" t="s">
        <v>156</v>
      </c>
      <c r="F76" s="9" t="s">
        <v>157</v>
      </c>
      <c r="G76" s="7" t="s">
        <v>27</v>
      </c>
      <c r="H76" s="7">
        <v>2.0</v>
      </c>
      <c r="I76" s="11">
        <v>0.0</v>
      </c>
      <c r="J76" s="7">
        <f t="shared" si="1"/>
        <v>2</v>
      </c>
      <c r="K76" s="7">
        <v>0.0</v>
      </c>
      <c r="L76" s="7"/>
      <c r="M76" s="7">
        <f t="shared" si="2"/>
        <v>0</v>
      </c>
      <c r="N76" s="7">
        <v>2.0</v>
      </c>
      <c r="O76" s="7"/>
      <c r="P76" s="7">
        <f t="shared" si="3"/>
        <v>2</v>
      </c>
      <c r="Q76" s="7">
        <v>0.0</v>
      </c>
      <c r="R76" s="7"/>
      <c r="S76" s="7">
        <f t="shared" si="4"/>
        <v>0</v>
      </c>
      <c r="T76" s="7">
        <v>0.0</v>
      </c>
      <c r="U76" s="7"/>
      <c r="V76" s="7">
        <f t="shared" si="5"/>
        <v>0</v>
      </c>
      <c r="W76" s="7">
        <v>0.0</v>
      </c>
      <c r="X76" s="7"/>
      <c r="Y76" s="7">
        <f t="shared" si="6"/>
        <v>0</v>
      </c>
      <c r="Z76" s="7">
        <v>0.0</v>
      </c>
      <c r="AA76" s="7"/>
      <c r="AB76" s="7">
        <f t="shared" si="7"/>
        <v>0</v>
      </c>
      <c r="AC76" s="7">
        <v>0.0</v>
      </c>
      <c r="AD76" s="7"/>
      <c r="AE76" s="7">
        <f t="shared" si="8"/>
        <v>0</v>
      </c>
      <c r="AF76" s="7">
        <v>2.0</v>
      </c>
      <c r="AG76" s="11">
        <v>0.0</v>
      </c>
      <c r="AH76" s="7">
        <v>2.0</v>
      </c>
      <c r="AI76" s="11">
        <v>0.0</v>
      </c>
    </row>
    <row r="77" ht="30.0" customHeight="1">
      <c r="A77" s="7">
        <v>75.0</v>
      </c>
      <c r="B77" s="7">
        <v>4.3290073E7</v>
      </c>
      <c r="C77" s="7">
        <v>24.0</v>
      </c>
      <c r="D77" s="7">
        <v>70.0</v>
      </c>
      <c r="E77" s="8" t="s">
        <v>158</v>
      </c>
      <c r="F77" s="9" t="s">
        <v>159</v>
      </c>
      <c r="G77" s="7" t="s">
        <v>27</v>
      </c>
      <c r="H77" s="7">
        <v>2.0</v>
      </c>
      <c r="I77" s="7">
        <v>1.0</v>
      </c>
      <c r="J77" s="7">
        <f t="shared" si="1"/>
        <v>2</v>
      </c>
      <c r="K77" s="7">
        <v>0.0</v>
      </c>
      <c r="L77" s="7"/>
      <c r="M77" s="7">
        <f t="shared" si="2"/>
        <v>0</v>
      </c>
      <c r="N77" s="7">
        <v>2.0</v>
      </c>
      <c r="O77" s="7"/>
      <c r="P77" s="7">
        <f t="shared" si="3"/>
        <v>2</v>
      </c>
      <c r="Q77" s="7">
        <v>0.0</v>
      </c>
      <c r="R77" s="7"/>
      <c r="S77" s="7">
        <f t="shared" si="4"/>
        <v>0</v>
      </c>
      <c r="T77" s="7">
        <v>0.0</v>
      </c>
      <c r="U77" s="7"/>
      <c r="V77" s="7">
        <f t="shared" si="5"/>
        <v>0</v>
      </c>
      <c r="W77" s="7">
        <v>0.0</v>
      </c>
      <c r="X77" s="7"/>
      <c r="Y77" s="7">
        <f t="shared" si="6"/>
        <v>0</v>
      </c>
      <c r="Z77" s="7">
        <v>0.0</v>
      </c>
      <c r="AA77" s="7"/>
      <c r="AB77" s="7">
        <f t="shared" si="7"/>
        <v>0</v>
      </c>
      <c r="AC77" s="7">
        <v>0.0</v>
      </c>
      <c r="AD77" s="7"/>
      <c r="AE77" s="7">
        <f t="shared" si="8"/>
        <v>0</v>
      </c>
      <c r="AF77" s="10"/>
      <c r="AG77" s="10"/>
      <c r="AH77" s="10"/>
      <c r="AI77" s="10"/>
    </row>
    <row r="78" ht="30.0" customHeight="1">
      <c r="A78" s="7">
        <v>76.0</v>
      </c>
      <c r="B78" s="7">
        <v>4.7420145E7</v>
      </c>
      <c r="C78" s="7">
        <v>24.0</v>
      </c>
      <c r="D78" s="7">
        <v>70.0</v>
      </c>
      <c r="E78" s="8" t="s">
        <v>160</v>
      </c>
      <c r="F78" s="9" t="s">
        <v>161</v>
      </c>
      <c r="G78" s="7" t="s">
        <v>27</v>
      </c>
      <c r="H78" s="7">
        <v>2.0</v>
      </c>
      <c r="I78" s="7">
        <v>1.0</v>
      </c>
      <c r="J78" s="7">
        <f t="shared" si="1"/>
        <v>0</v>
      </c>
      <c r="K78" s="7">
        <v>0.0</v>
      </c>
      <c r="L78" s="7"/>
      <c r="M78" s="7">
        <f t="shared" si="2"/>
        <v>0</v>
      </c>
      <c r="N78" s="7">
        <v>0.0</v>
      </c>
      <c r="O78" s="7"/>
      <c r="P78" s="7">
        <f t="shared" si="3"/>
        <v>0</v>
      </c>
      <c r="Q78" s="7">
        <v>0.0</v>
      </c>
      <c r="R78" s="7"/>
      <c r="S78" s="7">
        <f t="shared" si="4"/>
        <v>0</v>
      </c>
      <c r="T78" s="7">
        <v>0.0</v>
      </c>
      <c r="U78" s="7"/>
      <c r="V78" s="7">
        <f t="shared" si="5"/>
        <v>0</v>
      </c>
      <c r="W78" s="7">
        <v>0.0</v>
      </c>
      <c r="X78" s="7"/>
      <c r="Y78" s="7">
        <f t="shared" si="6"/>
        <v>0</v>
      </c>
      <c r="Z78" s="7">
        <v>0.0</v>
      </c>
      <c r="AA78" s="7"/>
      <c r="AB78" s="7">
        <f t="shared" si="7"/>
        <v>0</v>
      </c>
      <c r="AC78" s="7">
        <v>0.0</v>
      </c>
      <c r="AD78" s="7"/>
      <c r="AE78" s="7">
        <f t="shared" si="8"/>
        <v>0</v>
      </c>
      <c r="AF78" s="11">
        <v>0.0</v>
      </c>
      <c r="AG78" s="7">
        <v>1.0</v>
      </c>
      <c r="AH78" s="11">
        <v>0.0</v>
      </c>
      <c r="AI78" s="11">
        <v>0.0</v>
      </c>
    </row>
    <row r="79" ht="30.0" customHeight="1">
      <c r="A79" s="7">
        <v>77.0</v>
      </c>
      <c r="B79" s="7">
        <v>4.3050013E7</v>
      </c>
      <c r="C79" s="7">
        <v>23.0</v>
      </c>
      <c r="D79" s="7">
        <v>70.0</v>
      </c>
      <c r="E79" s="8" t="s">
        <v>162</v>
      </c>
      <c r="F79" s="9" t="s">
        <v>163</v>
      </c>
      <c r="G79" s="7" t="s">
        <v>27</v>
      </c>
      <c r="H79" s="7">
        <v>6.0</v>
      </c>
      <c r="I79" s="11">
        <v>0.0</v>
      </c>
      <c r="J79" s="7">
        <f t="shared" si="1"/>
        <v>6</v>
      </c>
      <c r="K79" s="7">
        <v>0.0</v>
      </c>
      <c r="L79" s="7"/>
      <c r="M79" s="7">
        <f t="shared" si="2"/>
        <v>0</v>
      </c>
      <c r="N79" s="7">
        <v>6.0</v>
      </c>
      <c r="O79" s="7"/>
      <c r="P79" s="7">
        <f t="shared" si="3"/>
        <v>6</v>
      </c>
      <c r="Q79" s="7">
        <v>0.0</v>
      </c>
      <c r="R79" s="7"/>
      <c r="S79" s="7">
        <f t="shared" si="4"/>
        <v>0</v>
      </c>
      <c r="T79" s="7">
        <v>0.0</v>
      </c>
      <c r="U79" s="7"/>
      <c r="V79" s="7">
        <f t="shared" si="5"/>
        <v>0</v>
      </c>
      <c r="W79" s="7">
        <v>0.0</v>
      </c>
      <c r="X79" s="7"/>
      <c r="Y79" s="7">
        <f t="shared" si="6"/>
        <v>0</v>
      </c>
      <c r="Z79" s="7">
        <v>0.0</v>
      </c>
      <c r="AA79" s="7"/>
      <c r="AB79" s="7">
        <f t="shared" si="7"/>
        <v>0</v>
      </c>
      <c r="AC79" s="7">
        <v>0.0</v>
      </c>
      <c r="AD79" s="7"/>
      <c r="AE79" s="7">
        <f t="shared" si="8"/>
        <v>0</v>
      </c>
      <c r="AF79" s="10"/>
      <c r="AG79" s="10"/>
      <c r="AH79" s="10"/>
      <c r="AI79" s="10"/>
    </row>
    <row r="80" ht="30.0" customHeight="1">
      <c r="A80" s="7">
        <v>78.0</v>
      </c>
      <c r="B80" s="7">
        <v>4.3830134E7</v>
      </c>
      <c r="C80" s="7">
        <v>24.0</v>
      </c>
      <c r="D80" s="7">
        <v>70.0</v>
      </c>
      <c r="E80" s="8" t="s">
        <v>164</v>
      </c>
      <c r="F80" s="9" t="s">
        <v>165</v>
      </c>
      <c r="G80" s="7" t="s">
        <v>27</v>
      </c>
      <c r="H80" s="7">
        <v>4.0</v>
      </c>
      <c r="I80" s="7">
        <v>5.0</v>
      </c>
      <c r="J80" s="7">
        <f t="shared" si="1"/>
        <v>4</v>
      </c>
      <c r="K80" s="7">
        <v>0.0</v>
      </c>
      <c r="L80" s="7"/>
      <c r="M80" s="7">
        <f t="shared" si="2"/>
        <v>0</v>
      </c>
      <c r="N80" s="7">
        <v>4.0</v>
      </c>
      <c r="O80" s="7"/>
      <c r="P80" s="7">
        <f t="shared" si="3"/>
        <v>4</v>
      </c>
      <c r="Q80" s="7">
        <v>0.0</v>
      </c>
      <c r="R80" s="7"/>
      <c r="S80" s="7">
        <f t="shared" si="4"/>
        <v>0</v>
      </c>
      <c r="T80" s="7">
        <v>0.0</v>
      </c>
      <c r="U80" s="7"/>
      <c r="V80" s="7">
        <f t="shared" si="5"/>
        <v>0</v>
      </c>
      <c r="W80" s="7">
        <v>0.0</v>
      </c>
      <c r="X80" s="7"/>
      <c r="Y80" s="7">
        <f t="shared" si="6"/>
        <v>0</v>
      </c>
      <c r="Z80" s="7">
        <v>0.0</v>
      </c>
      <c r="AA80" s="7"/>
      <c r="AB80" s="7">
        <f t="shared" si="7"/>
        <v>0</v>
      </c>
      <c r="AC80" s="7">
        <v>0.0</v>
      </c>
      <c r="AD80" s="7"/>
      <c r="AE80" s="7">
        <f t="shared" si="8"/>
        <v>0</v>
      </c>
      <c r="AF80" s="10"/>
      <c r="AG80" s="10"/>
      <c r="AH80" s="10"/>
      <c r="AI80" s="10"/>
    </row>
    <row r="81" ht="30.0" customHeight="1">
      <c r="A81" s="7">
        <v>79.0</v>
      </c>
      <c r="B81" s="7">
        <v>4.7240945E7</v>
      </c>
      <c r="C81" s="7">
        <v>24.0</v>
      </c>
      <c r="D81" s="7">
        <v>70.0</v>
      </c>
      <c r="E81" s="8" t="s">
        <v>166</v>
      </c>
      <c r="F81" s="9" t="s">
        <v>166</v>
      </c>
      <c r="G81" s="7" t="s">
        <v>27</v>
      </c>
      <c r="H81" s="7">
        <v>5.0</v>
      </c>
      <c r="I81" s="7">
        <v>5.0</v>
      </c>
      <c r="J81" s="7">
        <f t="shared" si="1"/>
        <v>0</v>
      </c>
      <c r="K81" s="7">
        <v>0.0</v>
      </c>
      <c r="L81" s="7"/>
      <c r="M81" s="7">
        <f t="shared" si="2"/>
        <v>0</v>
      </c>
      <c r="N81" s="7">
        <v>0.0</v>
      </c>
      <c r="O81" s="7"/>
      <c r="P81" s="7">
        <f t="shared" si="3"/>
        <v>0</v>
      </c>
      <c r="Q81" s="7">
        <v>0.0</v>
      </c>
      <c r="R81" s="7"/>
      <c r="S81" s="7">
        <f t="shared" si="4"/>
        <v>0</v>
      </c>
      <c r="T81" s="7">
        <v>0.0</v>
      </c>
      <c r="U81" s="7"/>
      <c r="V81" s="7">
        <f t="shared" si="5"/>
        <v>0</v>
      </c>
      <c r="W81" s="7">
        <v>0.0</v>
      </c>
      <c r="X81" s="7"/>
      <c r="Y81" s="7">
        <f t="shared" si="6"/>
        <v>0</v>
      </c>
      <c r="Z81" s="7">
        <v>0.0</v>
      </c>
      <c r="AA81" s="7"/>
      <c r="AB81" s="7">
        <f t="shared" si="7"/>
        <v>0</v>
      </c>
      <c r="AC81" s="7">
        <v>0.0</v>
      </c>
      <c r="AD81" s="7"/>
      <c r="AE81" s="7">
        <f t="shared" si="8"/>
        <v>0</v>
      </c>
      <c r="AF81" s="7">
        <v>1.0</v>
      </c>
      <c r="AG81" s="7">
        <v>5.0</v>
      </c>
      <c r="AH81" s="7">
        <v>3.0</v>
      </c>
      <c r="AI81" s="11">
        <v>0.0</v>
      </c>
    </row>
    <row r="82" ht="30.0" customHeight="1">
      <c r="A82" s="7">
        <v>80.0</v>
      </c>
      <c r="B82" s="7">
        <v>4.7241652E7</v>
      </c>
      <c r="C82" s="7">
        <v>24.0</v>
      </c>
      <c r="D82" s="7">
        <v>70.0</v>
      </c>
      <c r="E82" s="8" t="s">
        <v>167</v>
      </c>
      <c r="F82" s="9" t="s">
        <v>168</v>
      </c>
      <c r="G82" s="7" t="s">
        <v>27</v>
      </c>
      <c r="H82" s="7">
        <v>6.0</v>
      </c>
      <c r="I82" s="7">
        <v>5.0</v>
      </c>
      <c r="J82" s="7">
        <f t="shared" si="1"/>
        <v>6</v>
      </c>
      <c r="K82" s="7">
        <v>2.0</v>
      </c>
      <c r="L82" s="7"/>
      <c r="M82" s="7">
        <f t="shared" si="2"/>
        <v>2</v>
      </c>
      <c r="N82" s="7">
        <v>2.0</v>
      </c>
      <c r="O82" s="7"/>
      <c r="P82" s="7">
        <f t="shared" si="3"/>
        <v>2</v>
      </c>
      <c r="Q82" s="7">
        <v>2.0</v>
      </c>
      <c r="R82" s="7"/>
      <c r="S82" s="7">
        <f t="shared" si="4"/>
        <v>2</v>
      </c>
      <c r="T82" s="7">
        <v>0.0</v>
      </c>
      <c r="U82" s="7"/>
      <c r="V82" s="7">
        <f t="shared" si="5"/>
        <v>0</v>
      </c>
      <c r="W82" s="7">
        <v>0.0</v>
      </c>
      <c r="X82" s="7"/>
      <c r="Y82" s="7">
        <f t="shared" si="6"/>
        <v>0</v>
      </c>
      <c r="Z82" s="7">
        <v>0.0</v>
      </c>
      <c r="AA82" s="7"/>
      <c r="AB82" s="7">
        <f t="shared" si="7"/>
        <v>0</v>
      </c>
      <c r="AC82" s="7">
        <v>0.0</v>
      </c>
      <c r="AD82" s="7"/>
      <c r="AE82" s="7">
        <f t="shared" si="8"/>
        <v>0</v>
      </c>
      <c r="AF82" s="10"/>
      <c r="AG82" s="10"/>
      <c r="AH82" s="10"/>
      <c r="AI82" s="10"/>
    </row>
    <row r="83" ht="30.0" customHeight="1">
      <c r="A83" s="7">
        <v>81.0</v>
      </c>
      <c r="B83" s="7">
        <v>4.3080005E7</v>
      </c>
      <c r="C83" s="7">
        <v>23.0</v>
      </c>
      <c r="D83" s="7">
        <v>10.0</v>
      </c>
      <c r="E83" s="8" t="s">
        <v>169</v>
      </c>
      <c r="F83" s="9" t="s">
        <v>170</v>
      </c>
      <c r="G83" s="7" t="s">
        <v>27</v>
      </c>
      <c r="H83" s="7">
        <v>24.0</v>
      </c>
      <c r="I83" s="7">
        <v>24.0</v>
      </c>
      <c r="J83" s="7">
        <f t="shared" si="1"/>
        <v>24</v>
      </c>
      <c r="K83" s="7">
        <v>12.0</v>
      </c>
      <c r="L83" s="7"/>
      <c r="M83" s="7">
        <f t="shared" si="2"/>
        <v>12</v>
      </c>
      <c r="N83" s="7">
        <v>12.0</v>
      </c>
      <c r="O83" s="7"/>
      <c r="P83" s="7">
        <f t="shared" si="3"/>
        <v>12</v>
      </c>
      <c r="Q83" s="7">
        <v>0.0</v>
      </c>
      <c r="R83" s="7"/>
      <c r="S83" s="7">
        <f t="shared" si="4"/>
        <v>0</v>
      </c>
      <c r="T83" s="7">
        <v>0.0</v>
      </c>
      <c r="U83" s="7"/>
      <c r="V83" s="7">
        <f t="shared" si="5"/>
        <v>0</v>
      </c>
      <c r="W83" s="7">
        <v>0.0</v>
      </c>
      <c r="X83" s="7"/>
      <c r="Y83" s="7">
        <f t="shared" si="6"/>
        <v>0</v>
      </c>
      <c r="Z83" s="7">
        <v>0.0</v>
      </c>
      <c r="AA83" s="7"/>
      <c r="AB83" s="7">
        <f t="shared" si="7"/>
        <v>0</v>
      </c>
      <c r="AC83" s="7">
        <v>0.0</v>
      </c>
      <c r="AD83" s="7"/>
      <c r="AE83" s="7">
        <f t="shared" si="8"/>
        <v>0</v>
      </c>
      <c r="AF83" s="10"/>
      <c r="AG83" s="10"/>
      <c r="AH83" s="10"/>
      <c r="AI83" s="10"/>
    </row>
    <row r="84" ht="30.0" customHeight="1">
      <c r="A84" s="7">
        <v>82.0</v>
      </c>
      <c r="B84" s="7">
        <v>4.3020021E7</v>
      </c>
      <c r="C84" s="7">
        <v>21.0</v>
      </c>
      <c r="D84" s="7">
        <v>70.0</v>
      </c>
      <c r="E84" s="8" t="s">
        <v>171</v>
      </c>
      <c r="F84" s="9" t="s">
        <v>172</v>
      </c>
      <c r="G84" s="7" t="s">
        <v>27</v>
      </c>
      <c r="H84" s="7">
        <v>40.0</v>
      </c>
      <c r="I84" s="7">
        <v>45.0</v>
      </c>
      <c r="J84" s="7">
        <f t="shared" si="1"/>
        <v>30</v>
      </c>
      <c r="K84" s="7">
        <v>0.0</v>
      </c>
      <c r="L84" s="7"/>
      <c r="M84" s="7">
        <f t="shared" si="2"/>
        <v>0</v>
      </c>
      <c r="N84" s="7">
        <v>0.0</v>
      </c>
      <c r="O84" s="7"/>
      <c r="P84" s="7">
        <f t="shared" si="3"/>
        <v>0</v>
      </c>
      <c r="Q84" s="7">
        <v>30.0</v>
      </c>
      <c r="R84" s="7"/>
      <c r="S84" s="7">
        <f t="shared" si="4"/>
        <v>30</v>
      </c>
      <c r="T84" s="7">
        <v>0.0</v>
      </c>
      <c r="U84" s="7"/>
      <c r="V84" s="7">
        <f t="shared" si="5"/>
        <v>0</v>
      </c>
      <c r="W84" s="7">
        <v>0.0</v>
      </c>
      <c r="X84" s="7"/>
      <c r="Y84" s="7">
        <f t="shared" si="6"/>
        <v>0</v>
      </c>
      <c r="Z84" s="7">
        <v>0.0</v>
      </c>
      <c r="AA84" s="7"/>
      <c r="AB84" s="7">
        <f t="shared" si="7"/>
        <v>0</v>
      </c>
      <c r="AC84" s="7">
        <v>0.0</v>
      </c>
      <c r="AD84" s="7"/>
      <c r="AE84" s="7">
        <f t="shared" si="8"/>
        <v>0</v>
      </c>
      <c r="AF84" s="10"/>
      <c r="AG84" s="10"/>
      <c r="AH84" s="10"/>
      <c r="AI84" s="10"/>
    </row>
    <row r="85" ht="30.0" customHeight="1">
      <c r="A85" s="7">
        <v>83.0</v>
      </c>
      <c r="B85" s="7">
        <v>4.390032E7</v>
      </c>
      <c r="C85" s="7">
        <v>23.0</v>
      </c>
      <c r="D85" s="7">
        <v>10.0</v>
      </c>
      <c r="E85" s="8" t="s">
        <v>173</v>
      </c>
      <c r="F85" s="9" t="s">
        <v>174</v>
      </c>
      <c r="G85" s="7" t="s">
        <v>27</v>
      </c>
      <c r="H85" s="7">
        <v>240.0</v>
      </c>
      <c r="I85" s="7">
        <v>167.0</v>
      </c>
      <c r="J85" s="7">
        <f t="shared" si="1"/>
        <v>195</v>
      </c>
      <c r="K85" s="7">
        <v>0.0</v>
      </c>
      <c r="L85" s="7"/>
      <c r="M85" s="7">
        <f t="shared" si="2"/>
        <v>0</v>
      </c>
      <c r="N85" s="7">
        <v>180.0</v>
      </c>
      <c r="O85" s="7"/>
      <c r="P85" s="7">
        <f t="shared" si="3"/>
        <v>180</v>
      </c>
      <c r="Q85" s="7">
        <v>15.0</v>
      </c>
      <c r="R85" s="7"/>
      <c r="S85" s="7">
        <f t="shared" si="4"/>
        <v>15</v>
      </c>
      <c r="T85" s="7">
        <v>0.0</v>
      </c>
      <c r="U85" s="7"/>
      <c r="V85" s="7">
        <f t="shared" si="5"/>
        <v>0</v>
      </c>
      <c r="W85" s="7">
        <v>0.0</v>
      </c>
      <c r="X85" s="7"/>
      <c r="Y85" s="7">
        <f t="shared" si="6"/>
        <v>0</v>
      </c>
      <c r="Z85" s="7">
        <v>0.0</v>
      </c>
      <c r="AA85" s="7"/>
      <c r="AB85" s="7">
        <f t="shared" si="7"/>
        <v>0</v>
      </c>
      <c r="AC85" s="7">
        <v>0.0</v>
      </c>
      <c r="AD85" s="7"/>
      <c r="AE85" s="7">
        <f t="shared" si="8"/>
        <v>0</v>
      </c>
      <c r="AF85" s="10"/>
      <c r="AG85" s="10"/>
      <c r="AH85" s="10"/>
      <c r="AI85" s="10"/>
    </row>
    <row r="86" ht="30.0" customHeight="1">
      <c r="A86" s="7">
        <v>84.0</v>
      </c>
      <c r="B86" s="7">
        <v>4.3010507E7</v>
      </c>
      <c r="C86" s="7">
        <v>24.0</v>
      </c>
      <c r="D86" s="7">
        <v>70.0</v>
      </c>
      <c r="E86" s="8" t="s">
        <v>175</v>
      </c>
      <c r="F86" s="9" t="s">
        <v>176</v>
      </c>
      <c r="G86" s="7" t="s">
        <v>27</v>
      </c>
      <c r="H86" s="7">
        <v>10.0</v>
      </c>
      <c r="I86" s="7">
        <v>1.0</v>
      </c>
      <c r="J86" s="7">
        <f t="shared" si="1"/>
        <v>0</v>
      </c>
      <c r="K86" s="7">
        <v>0.0</v>
      </c>
      <c r="L86" s="7"/>
      <c r="M86" s="7">
        <f t="shared" si="2"/>
        <v>0</v>
      </c>
      <c r="N86" s="7">
        <v>0.0</v>
      </c>
      <c r="O86" s="7"/>
      <c r="P86" s="7">
        <f t="shared" si="3"/>
        <v>0</v>
      </c>
      <c r="Q86" s="7">
        <v>0.0</v>
      </c>
      <c r="R86" s="7"/>
      <c r="S86" s="7">
        <f t="shared" si="4"/>
        <v>0</v>
      </c>
      <c r="T86" s="7">
        <v>0.0</v>
      </c>
      <c r="U86" s="7"/>
      <c r="V86" s="7">
        <f t="shared" si="5"/>
        <v>0</v>
      </c>
      <c r="W86" s="7">
        <v>0.0</v>
      </c>
      <c r="X86" s="7"/>
      <c r="Y86" s="7">
        <f t="shared" si="6"/>
        <v>0</v>
      </c>
      <c r="Z86" s="7">
        <v>0.0</v>
      </c>
      <c r="AA86" s="7"/>
      <c r="AB86" s="7">
        <f t="shared" si="7"/>
        <v>0</v>
      </c>
      <c r="AC86" s="7">
        <v>0.0</v>
      </c>
      <c r="AD86" s="7"/>
      <c r="AE86" s="7">
        <f t="shared" si="8"/>
        <v>0</v>
      </c>
      <c r="AF86" s="7">
        <v>10.0</v>
      </c>
      <c r="AG86" s="7">
        <v>10.0</v>
      </c>
      <c r="AH86" s="7">
        <v>20.0</v>
      </c>
      <c r="AI86" s="11">
        <v>0.0</v>
      </c>
    </row>
    <row r="87" ht="30.0" customHeight="1">
      <c r="A87" s="7">
        <v>85.0</v>
      </c>
      <c r="B87" s="7">
        <v>4.7420662E7</v>
      </c>
      <c r="C87" s="7">
        <v>24.0</v>
      </c>
      <c r="D87" s="7">
        <v>70.0</v>
      </c>
      <c r="E87" s="8" t="s">
        <v>177</v>
      </c>
      <c r="F87" s="9" t="s">
        <v>178</v>
      </c>
      <c r="G87" s="7" t="s">
        <v>27</v>
      </c>
      <c r="H87" s="7">
        <v>1000.0</v>
      </c>
      <c r="I87" s="7">
        <v>1000.0</v>
      </c>
      <c r="J87" s="7">
        <f t="shared" si="1"/>
        <v>100</v>
      </c>
      <c r="K87" s="7">
        <v>0.0</v>
      </c>
      <c r="L87" s="7"/>
      <c r="M87" s="7">
        <f t="shared" si="2"/>
        <v>0</v>
      </c>
      <c r="N87" s="7">
        <v>100.0</v>
      </c>
      <c r="O87" s="7"/>
      <c r="P87" s="7">
        <f t="shared" si="3"/>
        <v>100</v>
      </c>
      <c r="Q87" s="7">
        <v>0.0</v>
      </c>
      <c r="R87" s="7"/>
      <c r="S87" s="7">
        <f t="shared" si="4"/>
        <v>0</v>
      </c>
      <c r="T87" s="7">
        <v>0.0</v>
      </c>
      <c r="U87" s="7"/>
      <c r="V87" s="7">
        <f t="shared" si="5"/>
        <v>0</v>
      </c>
      <c r="W87" s="7">
        <v>0.0</v>
      </c>
      <c r="X87" s="7"/>
      <c r="Y87" s="7">
        <f t="shared" si="6"/>
        <v>0</v>
      </c>
      <c r="Z87" s="7">
        <v>0.0</v>
      </c>
      <c r="AA87" s="7"/>
      <c r="AB87" s="7">
        <f t="shared" si="7"/>
        <v>0</v>
      </c>
      <c r="AC87" s="7">
        <v>0.0</v>
      </c>
      <c r="AD87" s="7"/>
      <c r="AE87" s="7">
        <f t="shared" si="8"/>
        <v>0</v>
      </c>
      <c r="AF87" s="10"/>
      <c r="AG87" s="10"/>
      <c r="AH87" s="10"/>
      <c r="AI87" s="10"/>
    </row>
    <row r="88" ht="30.0" customHeight="1">
      <c r="A88" s="7">
        <v>86.0</v>
      </c>
      <c r="B88" s="7">
        <v>4.7420157E7</v>
      </c>
      <c r="C88" s="7">
        <v>24.0</v>
      </c>
      <c r="D88" s="7">
        <v>10.0</v>
      </c>
      <c r="E88" s="8" t="s">
        <v>179</v>
      </c>
      <c r="F88" s="9" t="s">
        <v>180</v>
      </c>
      <c r="G88" s="7" t="s">
        <v>27</v>
      </c>
      <c r="H88" s="7">
        <v>4500.0</v>
      </c>
      <c r="I88" s="7">
        <v>8500.0</v>
      </c>
      <c r="J88" s="7">
        <f t="shared" si="1"/>
        <v>600</v>
      </c>
      <c r="K88" s="7">
        <v>100.0</v>
      </c>
      <c r="L88" s="7"/>
      <c r="M88" s="7">
        <f t="shared" si="2"/>
        <v>100</v>
      </c>
      <c r="N88" s="7">
        <v>500.0</v>
      </c>
      <c r="O88" s="7"/>
      <c r="P88" s="7">
        <f t="shared" si="3"/>
        <v>500</v>
      </c>
      <c r="Q88" s="7">
        <v>0.0</v>
      </c>
      <c r="R88" s="7"/>
      <c r="S88" s="7">
        <f t="shared" si="4"/>
        <v>0</v>
      </c>
      <c r="T88" s="7">
        <v>0.0</v>
      </c>
      <c r="U88" s="7"/>
      <c r="V88" s="7">
        <f t="shared" si="5"/>
        <v>0</v>
      </c>
      <c r="W88" s="7">
        <v>0.0</v>
      </c>
      <c r="X88" s="7"/>
      <c r="Y88" s="7">
        <f t="shared" si="6"/>
        <v>0</v>
      </c>
      <c r="Z88" s="7">
        <v>0.0</v>
      </c>
      <c r="AA88" s="7"/>
      <c r="AB88" s="7">
        <f t="shared" si="7"/>
        <v>0</v>
      </c>
      <c r="AC88" s="7">
        <v>0.0</v>
      </c>
      <c r="AD88" s="7"/>
      <c r="AE88" s="7">
        <f t="shared" si="8"/>
        <v>0</v>
      </c>
      <c r="AF88" s="10"/>
      <c r="AG88" s="10"/>
      <c r="AH88" s="10"/>
      <c r="AI88" s="10"/>
    </row>
    <row r="89" ht="30.0" customHeight="1">
      <c r="A89" s="7">
        <v>87.0</v>
      </c>
      <c r="B89" s="7">
        <v>4.7420534E7</v>
      </c>
      <c r="C89" s="7">
        <v>24.0</v>
      </c>
      <c r="D89" s="7">
        <v>70.0</v>
      </c>
      <c r="E89" s="8" t="s">
        <v>181</v>
      </c>
      <c r="F89" s="9" t="s">
        <v>182</v>
      </c>
      <c r="G89" s="7" t="s">
        <v>27</v>
      </c>
      <c r="H89" s="7">
        <v>200.0</v>
      </c>
      <c r="I89" s="7">
        <v>90.0</v>
      </c>
      <c r="J89" s="7">
        <f t="shared" si="1"/>
        <v>200</v>
      </c>
      <c r="K89" s="7">
        <v>100.0</v>
      </c>
      <c r="L89" s="7"/>
      <c r="M89" s="7">
        <f t="shared" si="2"/>
        <v>100</v>
      </c>
      <c r="N89" s="7">
        <v>100.0</v>
      </c>
      <c r="O89" s="7"/>
      <c r="P89" s="7">
        <f t="shared" si="3"/>
        <v>100</v>
      </c>
      <c r="Q89" s="7">
        <v>0.0</v>
      </c>
      <c r="R89" s="7"/>
      <c r="S89" s="7">
        <f t="shared" si="4"/>
        <v>0</v>
      </c>
      <c r="T89" s="7">
        <v>0.0</v>
      </c>
      <c r="U89" s="7"/>
      <c r="V89" s="7">
        <f t="shared" si="5"/>
        <v>0</v>
      </c>
      <c r="W89" s="7">
        <v>0.0</v>
      </c>
      <c r="X89" s="7"/>
      <c r="Y89" s="7">
        <f t="shared" si="6"/>
        <v>0</v>
      </c>
      <c r="Z89" s="7">
        <v>0.0</v>
      </c>
      <c r="AA89" s="7"/>
      <c r="AB89" s="7">
        <f t="shared" si="7"/>
        <v>0</v>
      </c>
      <c r="AC89" s="7">
        <v>0.0</v>
      </c>
      <c r="AD89" s="7"/>
      <c r="AE89" s="7">
        <f t="shared" si="8"/>
        <v>0</v>
      </c>
      <c r="AF89" s="10"/>
      <c r="AG89" s="10"/>
      <c r="AH89" s="10"/>
      <c r="AI89" s="10"/>
    </row>
    <row r="90" ht="30.0" customHeight="1">
      <c r="A90" s="7">
        <v>88.0</v>
      </c>
      <c r="B90" s="7">
        <v>4.301012E7</v>
      </c>
      <c r="C90" s="7">
        <v>23.0</v>
      </c>
      <c r="D90" s="7">
        <v>10.0</v>
      </c>
      <c r="E90" s="8" t="s">
        <v>183</v>
      </c>
      <c r="F90" s="9" t="s">
        <v>184</v>
      </c>
      <c r="G90" s="7" t="s">
        <v>27</v>
      </c>
      <c r="H90" s="7">
        <v>750.0</v>
      </c>
      <c r="I90" s="7">
        <v>1083.0</v>
      </c>
      <c r="J90" s="7">
        <f t="shared" si="1"/>
        <v>400</v>
      </c>
      <c r="K90" s="7">
        <v>200.0</v>
      </c>
      <c r="L90" s="7"/>
      <c r="M90" s="7">
        <f t="shared" si="2"/>
        <v>200</v>
      </c>
      <c r="N90" s="7">
        <v>200.0</v>
      </c>
      <c r="O90" s="7"/>
      <c r="P90" s="7">
        <f t="shared" si="3"/>
        <v>200</v>
      </c>
      <c r="Q90" s="7">
        <v>0.0</v>
      </c>
      <c r="R90" s="7"/>
      <c r="S90" s="7">
        <f t="shared" si="4"/>
        <v>0</v>
      </c>
      <c r="T90" s="7">
        <v>0.0</v>
      </c>
      <c r="U90" s="7"/>
      <c r="V90" s="7">
        <f t="shared" si="5"/>
        <v>0</v>
      </c>
      <c r="W90" s="7">
        <v>0.0</v>
      </c>
      <c r="X90" s="7"/>
      <c r="Y90" s="7">
        <f t="shared" si="6"/>
        <v>0</v>
      </c>
      <c r="Z90" s="7">
        <v>0.0</v>
      </c>
      <c r="AA90" s="7"/>
      <c r="AB90" s="7">
        <f t="shared" si="7"/>
        <v>0</v>
      </c>
      <c r="AC90" s="7">
        <v>0.0</v>
      </c>
      <c r="AD90" s="7"/>
      <c r="AE90" s="7">
        <f t="shared" si="8"/>
        <v>0</v>
      </c>
      <c r="AF90" s="10"/>
      <c r="AG90" s="10"/>
      <c r="AH90" s="10"/>
      <c r="AI90" s="10"/>
    </row>
    <row r="91" ht="30.0" customHeight="1">
      <c r="A91" s="7">
        <v>89.0</v>
      </c>
      <c r="B91" s="7">
        <v>4.7420595E7</v>
      </c>
      <c r="C91" s="7">
        <v>24.0</v>
      </c>
      <c r="D91" s="7">
        <v>10.0</v>
      </c>
      <c r="E91" s="8" t="s">
        <v>185</v>
      </c>
      <c r="F91" s="9" t="s">
        <v>186</v>
      </c>
      <c r="G91" s="7" t="s">
        <v>27</v>
      </c>
      <c r="H91" s="7">
        <v>250.0</v>
      </c>
      <c r="I91" s="7">
        <v>342.0</v>
      </c>
      <c r="J91" s="7">
        <f t="shared" si="1"/>
        <v>250</v>
      </c>
      <c r="K91" s="7">
        <v>75.0</v>
      </c>
      <c r="L91" s="7"/>
      <c r="M91" s="7">
        <f t="shared" si="2"/>
        <v>75</v>
      </c>
      <c r="N91" s="7">
        <v>75.0</v>
      </c>
      <c r="O91" s="7"/>
      <c r="P91" s="7">
        <f t="shared" si="3"/>
        <v>75</v>
      </c>
      <c r="Q91" s="7">
        <v>25.0</v>
      </c>
      <c r="R91" s="7"/>
      <c r="S91" s="7">
        <f t="shared" si="4"/>
        <v>25</v>
      </c>
      <c r="T91" s="7">
        <v>25.0</v>
      </c>
      <c r="U91" s="7"/>
      <c r="V91" s="7">
        <f t="shared" si="5"/>
        <v>25</v>
      </c>
      <c r="W91" s="7">
        <v>25.0</v>
      </c>
      <c r="X91" s="7"/>
      <c r="Y91" s="7">
        <f t="shared" si="6"/>
        <v>25</v>
      </c>
      <c r="Z91" s="7">
        <v>25.0</v>
      </c>
      <c r="AA91" s="7"/>
      <c r="AB91" s="7">
        <f t="shared" si="7"/>
        <v>25</v>
      </c>
      <c r="AC91" s="7">
        <v>0.0</v>
      </c>
      <c r="AD91" s="7"/>
      <c r="AE91" s="7">
        <f t="shared" si="8"/>
        <v>0</v>
      </c>
      <c r="AF91" s="10"/>
      <c r="AG91" s="10"/>
      <c r="AH91" s="10"/>
      <c r="AI91" s="10"/>
    </row>
    <row r="92" ht="30.0" customHeight="1">
      <c r="A92" s="7">
        <v>90.0</v>
      </c>
      <c r="B92" s="7">
        <v>4.3290048E7</v>
      </c>
      <c r="C92" s="7">
        <v>24.0</v>
      </c>
      <c r="D92" s="7">
        <v>70.0</v>
      </c>
      <c r="E92" s="8" t="s">
        <v>187</v>
      </c>
      <c r="F92" s="9" t="s">
        <v>188</v>
      </c>
      <c r="G92" s="7" t="s">
        <v>27</v>
      </c>
      <c r="H92" s="7">
        <v>50.0</v>
      </c>
      <c r="I92" s="7">
        <v>50.0</v>
      </c>
      <c r="J92" s="7">
        <f t="shared" si="1"/>
        <v>50</v>
      </c>
      <c r="K92" s="7">
        <v>50.0</v>
      </c>
      <c r="L92" s="7"/>
      <c r="M92" s="7">
        <f t="shared" si="2"/>
        <v>50</v>
      </c>
      <c r="N92" s="7">
        <v>0.0</v>
      </c>
      <c r="O92" s="7"/>
      <c r="P92" s="7">
        <f t="shared" si="3"/>
        <v>0</v>
      </c>
      <c r="Q92" s="7">
        <v>0.0</v>
      </c>
      <c r="R92" s="7"/>
      <c r="S92" s="7">
        <f t="shared" si="4"/>
        <v>0</v>
      </c>
      <c r="T92" s="7">
        <v>0.0</v>
      </c>
      <c r="U92" s="7"/>
      <c r="V92" s="7">
        <f t="shared" si="5"/>
        <v>0</v>
      </c>
      <c r="W92" s="7">
        <v>0.0</v>
      </c>
      <c r="X92" s="7"/>
      <c r="Y92" s="7">
        <f t="shared" si="6"/>
        <v>0</v>
      </c>
      <c r="Z92" s="7">
        <v>0.0</v>
      </c>
      <c r="AA92" s="7"/>
      <c r="AB92" s="7">
        <f t="shared" si="7"/>
        <v>0</v>
      </c>
      <c r="AC92" s="7">
        <v>0.0</v>
      </c>
      <c r="AD92" s="7"/>
      <c r="AE92" s="7">
        <f t="shared" si="8"/>
        <v>0</v>
      </c>
      <c r="AF92" s="10"/>
      <c r="AG92" s="10"/>
      <c r="AH92" s="10"/>
      <c r="AI92" s="10"/>
    </row>
    <row r="93" ht="30.0" customHeight="1">
      <c r="A93" s="7">
        <v>91.0</v>
      </c>
      <c r="B93" s="7">
        <v>4.7420182E7</v>
      </c>
      <c r="C93" s="7">
        <v>24.0</v>
      </c>
      <c r="D93" s="7">
        <v>10.0</v>
      </c>
      <c r="E93" s="8" t="s">
        <v>189</v>
      </c>
      <c r="F93" s="9" t="s">
        <v>190</v>
      </c>
      <c r="G93" s="7" t="s">
        <v>27</v>
      </c>
      <c r="H93" s="7">
        <v>600.0</v>
      </c>
      <c r="I93" s="7">
        <v>830.0</v>
      </c>
      <c r="J93" s="7">
        <f t="shared" si="1"/>
        <v>600</v>
      </c>
      <c r="K93" s="7">
        <v>0.0</v>
      </c>
      <c r="L93" s="7"/>
      <c r="M93" s="7">
        <f t="shared" si="2"/>
        <v>0</v>
      </c>
      <c r="N93" s="7">
        <v>600.0</v>
      </c>
      <c r="O93" s="7"/>
      <c r="P93" s="7">
        <f t="shared" si="3"/>
        <v>600</v>
      </c>
      <c r="Q93" s="7">
        <v>0.0</v>
      </c>
      <c r="R93" s="7"/>
      <c r="S93" s="7">
        <f t="shared" si="4"/>
        <v>0</v>
      </c>
      <c r="T93" s="7">
        <v>0.0</v>
      </c>
      <c r="U93" s="7"/>
      <c r="V93" s="7">
        <f t="shared" si="5"/>
        <v>0</v>
      </c>
      <c r="W93" s="7">
        <v>0.0</v>
      </c>
      <c r="X93" s="7"/>
      <c r="Y93" s="7">
        <f t="shared" si="6"/>
        <v>0</v>
      </c>
      <c r="Z93" s="7">
        <v>0.0</v>
      </c>
      <c r="AA93" s="7"/>
      <c r="AB93" s="7">
        <f t="shared" si="7"/>
        <v>0</v>
      </c>
      <c r="AC93" s="7">
        <v>0.0</v>
      </c>
      <c r="AD93" s="7"/>
      <c r="AE93" s="7">
        <f t="shared" si="8"/>
        <v>0</v>
      </c>
      <c r="AF93" s="10"/>
      <c r="AG93" s="10"/>
      <c r="AH93" s="10"/>
      <c r="AI93" s="10"/>
    </row>
    <row r="94" ht="30.0" customHeight="1">
      <c r="A94" s="7">
        <v>92.0</v>
      </c>
      <c r="B94" s="7">
        <v>4.7420169E7</v>
      </c>
      <c r="C94" s="7">
        <v>24.0</v>
      </c>
      <c r="D94" s="7">
        <v>70.0</v>
      </c>
      <c r="E94" s="8" t="s">
        <v>191</v>
      </c>
      <c r="F94" s="9" t="s">
        <v>192</v>
      </c>
      <c r="G94" s="7" t="s">
        <v>27</v>
      </c>
      <c r="H94" s="7">
        <v>40.0</v>
      </c>
      <c r="I94" s="7">
        <v>14.0</v>
      </c>
      <c r="J94" s="7">
        <f t="shared" si="1"/>
        <v>40</v>
      </c>
      <c r="K94" s="7">
        <v>40.0</v>
      </c>
      <c r="L94" s="7"/>
      <c r="M94" s="7">
        <f t="shared" si="2"/>
        <v>40</v>
      </c>
      <c r="N94" s="7">
        <v>0.0</v>
      </c>
      <c r="O94" s="7"/>
      <c r="P94" s="7">
        <f t="shared" si="3"/>
        <v>0</v>
      </c>
      <c r="Q94" s="7">
        <v>0.0</v>
      </c>
      <c r="R94" s="7"/>
      <c r="S94" s="7">
        <f t="shared" si="4"/>
        <v>0</v>
      </c>
      <c r="T94" s="7">
        <v>0.0</v>
      </c>
      <c r="U94" s="7"/>
      <c r="V94" s="7">
        <f t="shared" si="5"/>
        <v>0</v>
      </c>
      <c r="W94" s="7">
        <v>0.0</v>
      </c>
      <c r="X94" s="7"/>
      <c r="Y94" s="7">
        <f t="shared" si="6"/>
        <v>0</v>
      </c>
      <c r="Z94" s="7">
        <v>0.0</v>
      </c>
      <c r="AA94" s="7"/>
      <c r="AB94" s="7">
        <f t="shared" si="7"/>
        <v>0</v>
      </c>
      <c r="AC94" s="7">
        <v>0.0</v>
      </c>
      <c r="AD94" s="7"/>
      <c r="AE94" s="7">
        <f t="shared" si="8"/>
        <v>0</v>
      </c>
      <c r="AF94" s="10"/>
      <c r="AG94" s="10"/>
      <c r="AH94" s="10"/>
      <c r="AI94" s="10"/>
    </row>
    <row r="95" ht="30.0" customHeight="1">
      <c r="A95" s="7">
        <v>93.0</v>
      </c>
      <c r="B95" s="7">
        <v>4.7420443E7</v>
      </c>
      <c r="C95" s="7">
        <v>24.0</v>
      </c>
      <c r="D95" s="7">
        <v>70.0</v>
      </c>
      <c r="E95" s="8" t="s">
        <v>193</v>
      </c>
      <c r="F95" s="9" t="s">
        <v>194</v>
      </c>
      <c r="G95" s="7" t="s">
        <v>27</v>
      </c>
      <c r="H95" s="7">
        <v>24.0</v>
      </c>
      <c r="I95" s="7">
        <v>10.0</v>
      </c>
      <c r="J95" s="7">
        <f t="shared" si="1"/>
        <v>16</v>
      </c>
      <c r="K95" s="7">
        <v>16.0</v>
      </c>
      <c r="L95" s="7"/>
      <c r="M95" s="7">
        <f t="shared" si="2"/>
        <v>16</v>
      </c>
      <c r="N95" s="7">
        <v>0.0</v>
      </c>
      <c r="O95" s="7"/>
      <c r="P95" s="7">
        <f t="shared" si="3"/>
        <v>0</v>
      </c>
      <c r="Q95" s="7">
        <v>0.0</v>
      </c>
      <c r="R95" s="7"/>
      <c r="S95" s="7">
        <f t="shared" si="4"/>
        <v>0</v>
      </c>
      <c r="T95" s="7">
        <v>0.0</v>
      </c>
      <c r="U95" s="7"/>
      <c r="V95" s="7">
        <f t="shared" si="5"/>
        <v>0</v>
      </c>
      <c r="W95" s="7">
        <v>0.0</v>
      </c>
      <c r="X95" s="7"/>
      <c r="Y95" s="7">
        <f t="shared" si="6"/>
        <v>0</v>
      </c>
      <c r="Z95" s="7">
        <v>0.0</v>
      </c>
      <c r="AA95" s="7"/>
      <c r="AB95" s="7">
        <f t="shared" si="7"/>
        <v>0</v>
      </c>
      <c r="AC95" s="7">
        <v>0.0</v>
      </c>
      <c r="AD95" s="7"/>
      <c r="AE95" s="7">
        <f t="shared" si="8"/>
        <v>0</v>
      </c>
      <c r="AF95" s="10"/>
      <c r="AG95" s="10"/>
      <c r="AH95" s="10"/>
      <c r="AI95" s="10"/>
    </row>
    <row r="96" ht="30.0" customHeight="1">
      <c r="A96" s="7">
        <v>94.0</v>
      </c>
      <c r="B96" s="7">
        <v>4.712001E7</v>
      </c>
      <c r="C96" s="7">
        <v>24.0</v>
      </c>
      <c r="D96" s="7">
        <v>70.0</v>
      </c>
      <c r="E96" s="8" t="s">
        <v>195</v>
      </c>
      <c r="F96" s="9" t="s">
        <v>196</v>
      </c>
      <c r="G96" s="7" t="s">
        <v>121</v>
      </c>
      <c r="H96" s="7">
        <v>16.0</v>
      </c>
      <c r="I96" s="11">
        <v>0.0</v>
      </c>
      <c r="J96" s="7">
        <f t="shared" si="1"/>
        <v>16</v>
      </c>
      <c r="K96" s="7">
        <v>0.0</v>
      </c>
      <c r="L96" s="7"/>
      <c r="M96" s="7">
        <f t="shared" si="2"/>
        <v>0</v>
      </c>
      <c r="N96" s="7">
        <v>8.0</v>
      </c>
      <c r="O96" s="7"/>
      <c r="P96" s="7">
        <f t="shared" si="3"/>
        <v>8</v>
      </c>
      <c r="Q96" s="7">
        <v>8.0</v>
      </c>
      <c r="R96" s="7"/>
      <c r="S96" s="7">
        <f t="shared" si="4"/>
        <v>8</v>
      </c>
      <c r="T96" s="7">
        <v>0.0</v>
      </c>
      <c r="U96" s="7"/>
      <c r="V96" s="7">
        <f t="shared" si="5"/>
        <v>0</v>
      </c>
      <c r="W96" s="7">
        <v>0.0</v>
      </c>
      <c r="X96" s="7"/>
      <c r="Y96" s="7">
        <f t="shared" si="6"/>
        <v>0</v>
      </c>
      <c r="Z96" s="7">
        <v>0.0</v>
      </c>
      <c r="AA96" s="7"/>
      <c r="AB96" s="7">
        <f t="shared" si="7"/>
        <v>0</v>
      </c>
      <c r="AC96" s="7">
        <v>0.0</v>
      </c>
      <c r="AD96" s="7"/>
      <c r="AE96" s="7">
        <f t="shared" si="8"/>
        <v>0</v>
      </c>
      <c r="AF96" s="10"/>
      <c r="AG96" s="10"/>
      <c r="AH96" s="10"/>
      <c r="AI96" s="10"/>
    </row>
    <row r="97" ht="30.0" customHeight="1">
      <c r="A97" s="7">
        <v>95.0</v>
      </c>
      <c r="B97" s="7">
        <v>4.7380081E7</v>
      </c>
      <c r="C97" s="7">
        <v>24.0</v>
      </c>
      <c r="D97" s="7">
        <v>10.0</v>
      </c>
      <c r="E97" s="8" t="s">
        <v>197</v>
      </c>
      <c r="F97" s="9" t="s">
        <v>198</v>
      </c>
      <c r="G97" s="7" t="s">
        <v>27</v>
      </c>
      <c r="H97" s="7">
        <v>600.0</v>
      </c>
      <c r="I97" s="7">
        <v>939.0</v>
      </c>
      <c r="J97" s="7">
        <f t="shared" si="1"/>
        <v>600</v>
      </c>
      <c r="K97" s="7">
        <v>0.0</v>
      </c>
      <c r="L97" s="7"/>
      <c r="M97" s="7">
        <f t="shared" si="2"/>
        <v>0</v>
      </c>
      <c r="N97" s="7">
        <v>600.0</v>
      </c>
      <c r="O97" s="7"/>
      <c r="P97" s="7">
        <f t="shared" si="3"/>
        <v>600</v>
      </c>
      <c r="Q97" s="7">
        <v>0.0</v>
      </c>
      <c r="R97" s="7"/>
      <c r="S97" s="7">
        <f t="shared" si="4"/>
        <v>0</v>
      </c>
      <c r="T97" s="7">
        <v>0.0</v>
      </c>
      <c r="U97" s="7"/>
      <c r="V97" s="7">
        <f t="shared" si="5"/>
        <v>0</v>
      </c>
      <c r="W97" s="7">
        <v>0.0</v>
      </c>
      <c r="X97" s="7"/>
      <c r="Y97" s="7">
        <f t="shared" si="6"/>
        <v>0</v>
      </c>
      <c r="Z97" s="7">
        <v>0.0</v>
      </c>
      <c r="AA97" s="7"/>
      <c r="AB97" s="7">
        <f t="shared" si="7"/>
        <v>0</v>
      </c>
      <c r="AC97" s="7">
        <v>0.0</v>
      </c>
      <c r="AD97" s="7"/>
      <c r="AE97" s="7">
        <f t="shared" si="8"/>
        <v>0</v>
      </c>
      <c r="AF97" s="10"/>
      <c r="AG97" s="10"/>
      <c r="AH97" s="10"/>
      <c r="AI97" s="10"/>
    </row>
    <row r="98" ht="30.0" customHeight="1">
      <c r="A98" s="7">
        <v>96.0</v>
      </c>
      <c r="B98" s="7">
        <v>4.7380068E7</v>
      </c>
      <c r="C98" s="7">
        <v>24.0</v>
      </c>
      <c r="D98" s="7">
        <v>70.0</v>
      </c>
      <c r="E98" s="8" t="s">
        <v>199</v>
      </c>
      <c r="F98" s="9" t="s">
        <v>200</v>
      </c>
      <c r="G98" s="7" t="s">
        <v>27</v>
      </c>
      <c r="H98" s="7">
        <v>100.0</v>
      </c>
      <c r="I98" s="7">
        <v>132.0</v>
      </c>
      <c r="J98" s="7">
        <f t="shared" si="1"/>
        <v>100</v>
      </c>
      <c r="K98" s="7">
        <v>0.0</v>
      </c>
      <c r="L98" s="7"/>
      <c r="M98" s="7">
        <f t="shared" si="2"/>
        <v>0</v>
      </c>
      <c r="N98" s="7">
        <v>100.0</v>
      </c>
      <c r="O98" s="7"/>
      <c r="P98" s="7">
        <f t="shared" si="3"/>
        <v>100</v>
      </c>
      <c r="Q98" s="7">
        <v>0.0</v>
      </c>
      <c r="R98" s="7"/>
      <c r="S98" s="7">
        <f t="shared" si="4"/>
        <v>0</v>
      </c>
      <c r="T98" s="7">
        <v>0.0</v>
      </c>
      <c r="U98" s="7"/>
      <c r="V98" s="7">
        <f t="shared" si="5"/>
        <v>0</v>
      </c>
      <c r="W98" s="7">
        <v>0.0</v>
      </c>
      <c r="X98" s="7"/>
      <c r="Y98" s="7">
        <f t="shared" si="6"/>
        <v>0</v>
      </c>
      <c r="Z98" s="7">
        <v>0.0</v>
      </c>
      <c r="AA98" s="7"/>
      <c r="AB98" s="7">
        <f t="shared" si="7"/>
        <v>0</v>
      </c>
      <c r="AC98" s="7">
        <v>0.0</v>
      </c>
      <c r="AD98" s="7"/>
      <c r="AE98" s="7">
        <f t="shared" si="8"/>
        <v>0</v>
      </c>
      <c r="AF98" s="10"/>
      <c r="AG98" s="10"/>
      <c r="AH98" s="10"/>
      <c r="AI98" s="10"/>
    </row>
    <row r="99" ht="30.0" customHeight="1">
      <c r="A99" s="7">
        <v>97.0</v>
      </c>
      <c r="B99" s="7">
        <v>4.738007E7</v>
      </c>
      <c r="C99" s="7">
        <v>24.0</v>
      </c>
      <c r="D99" s="7">
        <v>70.0</v>
      </c>
      <c r="E99" s="8" t="s">
        <v>201</v>
      </c>
      <c r="F99" s="9" t="s">
        <v>202</v>
      </c>
      <c r="G99" s="7" t="s">
        <v>27</v>
      </c>
      <c r="H99" s="7">
        <v>18.0</v>
      </c>
      <c r="I99" s="7">
        <v>5.0</v>
      </c>
      <c r="J99" s="7">
        <f t="shared" si="1"/>
        <v>18</v>
      </c>
      <c r="K99" s="7">
        <v>0.0</v>
      </c>
      <c r="L99" s="7"/>
      <c r="M99" s="7">
        <f t="shared" si="2"/>
        <v>0</v>
      </c>
      <c r="N99" s="7">
        <v>18.0</v>
      </c>
      <c r="O99" s="7"/>
      <c r="P99" s="7">
        <f t="shared" si="3"/>
        <v>18</v>
      </c>
      <c r="Q99" s="7">
        <v>0.0</v>
      </c>
      <c r="R99" s="7"/>
      <c r="S99" s="7">
        <f t="shared" si="4"/>
        <v>0</v>
      </c>
      <c r="T99" s="7">
        <v>0.0</v>
      </c>
      <c r="U99" s="7"/>
      <c r="V99" s="7">
        <f t="shared" si="5"/>
        <v>0</v>
      </c>
      <c r="W99" s="7">
        <v>0.0</v>
      </c>
      <c r="X99" s="7"/>
      <c r="Y99" s="7">
        <f t="shared" si="6"/>
        <v>0</v>
      </c>
      <c r="Z99" s="7">
        <v>0.0</v>
      </c>
      <c r="AA99" s="7"/>
      <c r="AB99" s="7">
        <f t="shared" si="7"/>
        <v>0</v>
      </c>
      <c r="AC99" s="7">
        <v>0.0</v>
      </c>
      <c r="AD99" s="7"/>
      <c r="AE99" s="7">
        <f t="shared" si="8"/>
        <v>0</v>
      </c>
      <c r="AF99" s="10"/>
      <c r="AG99" s="10"/>
      <c r="AH99" s="10"/>
      <c r="AI99" s="10"/>
    </row>
    <row r="100" ht="30.0" customHeight="1">
      <c r="A100" s="7">
        <v>98.0</v>
      </c>
      <c r="B100" s="7">
        <v>4.7380056E7</v>
      </c>
      <c r="C100" s="7">
        <v>24.0</v>
      </c>
      <c r="D100" s="7">
        <v>70.0</v>
      </c>
      <c r="E100" s="8" t="s">
        <v>203</v>
      </c>
      <c r="F100" s="9" t="s">
        <v>204</v>
      </c>
      <c r="G100" s="7" t="s">
        <v>27</v>
      </c>
      <c r="H100" s="7">
        <v>24.0</v>
      </c>
      <c r="I100" s="7">
        <v>22.0</v>
      </c>
      <c r="J100" s="7">
        <f t="shared" si="1"/>
        <v>24</v>
      </c>
      <c r="K100" s="7">
        <v>0.0</v>
      </c>
      <c r="L100" s="7"/>
      <c r="M100" s="7">
        <f t="shared" si="2"/>
        <v>0</v>
      </c>
      <c r="N100" s="7">
        <v>24.0</v>
      </c>
      <c r="O100" s="7"/>
      <c r="P100" s="7">
        <f t="shared" si="3"/>
        <v>24</v>
      </c>
      <c r="Q100" s="7">
        <v>0.0</v>
      </c>
      <c r="R100" s="7"/>
      <c r="S100" s="7">
        <f t="shared" si="4"/>
        <v>0</v>
      </c>
      <c r="T100" s="7">
        <v>0.0</v>
      </c>
      <c r="U100" s="7"/>
      <c r="V100" s="7">
        <f t="shared" si="5"/>
        <v>0</v>
      </c>
      <c r="W100" s="7">
        <v>0.0</v>
      </c>
      <c r="X100" s="7"/>
      <c r="Y100" s="7">
        <f t="shared" si="6"/>
        <v>0</v>
      </c>
      <c r="Z100" s="7">
        <v>0.0</v>
      </c>
      <c r="AA100" s="7"/>
      <c r="AB100" s="7">
        <f t="shared" si="7"/>
        <v>0</v>
      </c>
      <c r="AC100" s="7">
        <v>0.0</v>
      </c>
      <c r="AD100" s="7"/>
      <c r="AE100" s="7">
        <f t="shared" si="8"/>
        <v>0</v>
      </c>
      <c r="AF100" s="7">
        <v>23.0</v>
      </c>
      <c r="AG100" s="7">
        <v>18.0</v>
      </c>
      <c r="AH100" s="7">
        <v>10.0</v>
      </c>
      <c r="AI100" s="11">
        <v>0.0</v>
      </c>
    </row>
    <row r="101" ht="30.0" customHeight="1">
      <c r="A101" s="7">
        <v>99.0</v>
      </c>
      <c r="B101" s="7">
        <v>4.2027913E7</v>
      </c>
      <c r="C101" s="7">
        <v>24.0</v>
      </c>
      <c r="D101" s="7">
        <v>70.0</v>
      </c>
      <c r="E101" s="8" t="s">
        <v>205</v>
      </c>
      <c r="F101" s="9" t="s">
        <v>206</v>
      </c>
      <c r="G101" s="7" t="s">
        <v>121</v>
      </c>
      <c r="H101" s="7">
        <v>80.0</v>
      </c>
      <c r="I101" s="7">
        <v>15.0</v>
      </c>
      <c r="J101" s="7">
        <f t="shared" si="1"/>
        <v>80</v>
      </c>
      <c r="K101" s="7">
        <v>15.0</v>
      </c>
      <c r="L101" s="7"/>
      <c r="M101" s="7">
        <f t="shared" si="2"/>
        <v>15</v>
      </c>
      <c r="N101" s="7">
        <v>25.0</v>
      </c>
      <c r="O101" s="7"/>
      <c r="P101" s="7">
        <f t="shared" si="3"/>
        <v>25</v>
      </c>
      <c r="Q101" s="7">
        <v>30.0</v>
      </c>
      <c r="R101" s="7"/>
      <c r="S101" s="7">
        <f t="shared" si="4"/>
        <v>30</v>
      </c>
      <c r="T101" s="7">
        <v>0.0</v>
      </c>
      <c r="U101" s="7"/>
      <c r="V101" s="7">
        <f t="shared" si="5"/>
        <v>0</v>
      </c>
      <c r="W101" s="7">
        <v>0.0</v>
      </c>
      <c r="X101" s="7"/>
      <c r="Y101" s="7">
        <f t="shared" si="6"/>
        <v>0</v>
      </c>
      <c r="Z101" s="7">
        <v>10.0</v>
      </c>
      <c r="AA101" s="7"/>
      <c r="AB101" s="7">
        <f t="shared" si="7"/>
        <v>10</v>
      </c>
      <c r="AC101" s="7">
        <v>0.0</v>
      </c>
      <c r="AD101" s="7"/>
      <c r="AE101" s="7">
        <f t="shared" si="8"/>
        <v>0</v>
      </c>
      <c r="AF101" s="10"/>
      <c r="AG101" s="10"/>
      <c r="AH101" s="10"/>
      <c r="AI101" s="10"/>
    </row>
    <row r="102" ht="30.0" customHeight="1">
      <c r="A102" s="7">
        <v>100.0</v>
      </c>
      <c r="B102" s="7">
        <v>4.5219138E7</v>
      </c>
      <c r="C102" s="7">
        <v>24.0</v>
      </c>
      <c r="D102" s="7">
        <v>70.0</v>
      </c>
      <c r="E102" s="8" t="s">
        <v>207</v>
      </c>
      <c r="F102" s="9" t="s">
        <v>208</v>
      </c>
      <c r="G102" s="7" t="s">
        <v>27</v>
      </c>
      <c r="H102" s="7">
        <v>60.0</v>
      </c>
      <c r="I102" s="7">
        <v>56.0</v>
      </c>
      <c r="J102" s="7">
        <f t="shared" si="1"/>
        <v>60</v>
      </c>
      <c r="K102" s="7">
        <v>15.0</v>
      </c>
      <c r="L102" s="7"/>
      <c r="M102" s="7">
        <f t="shared" si="2"/>
        <v>15</v>
      </c>
      <c r="N102" s="7">
        <v>15.0</v>
      </c>
      <c r="O102" s="7"/>
      <c r="P102" s="7">
        <f t="shared" si="3"/>
        <v>15</v>
      </c>
      <c r="Q102" s="7">
        <v>15.0</v>
      </c>
      <c r="R102" s="7"/>
      <c r="S102" s="7">
        <f t="shared" si="4"/>
        <v>15</v>
      </c>
      <c r="T102" s="7">
        <v>5.0</v>
      </c>
      <c r="U102" s="7"/>
      <c r="V102" s="7">
        <f t="shared" si="5"/>
        <v>5</v>
      </c>
      <c r="W102" s="7">
        <v>5.0</v>
      </c>
      <c r="X102" s="7"/>
      <c r="Y102" s="7">
        <f t="shared" si="6"/>
        <v>5</v>
      </c>
      <c r="Z102" s="7">
        <v>5.0</v>
      </c>
      <c r="AA102" s="7"/>
      <c r="AB102" s="7">
        <f t="shared" si="7"/>
        <v>5</v>
      </c>
      <c r="AC102" s="7">
        <v>0.0</v>
      </c>
      <c r="AD102" s="7"/>
      <c r="AE102" s="7">
        <f t="shared" si="8"/>
        <v>0</v>
      </c>
      <c r="AF102" s="10"/>
      <c r="AG102" s="10"/>
      <c r="AH102" s="10"/>
      <c r="AI102" s="10"/>
    </row>
    <row r="103" ht="30.0" customHeight="1">
      <c r="A103" s="7">
        <v>101.0</v>
      </c>
      <c r="B103" s="7">
        <v>4.2029417E7</v>
      </c>
      <c r="C103" s="7">
        <v>23.0</v>
      </c>
      <c r="D103" s="7">
        <v>70.0</v>
      </c>
      <c r="E103" s="8" t="s">
        <v>209</v>
      </c>
      <c r="F103" s="9" t="s">
        <v>210</v>
      </c>
      <c r="G103" s="7" t="s">
        <v>27</v>
      </c>
      <c r="H103" s="7">
        <v>35.0</v>
      </c>
      <c r="I103" s="11">
        <v>0.0</v>
      </c>
      <c r="J103" s="7">
        <f t="shared" si="1"/>
        <v>35</v>
      </c>
      <c r="K103" s="7">
        <v>10.0</v>
      </c>
      <c r="L103" s="7"/>
      <c r="M103" s="7">
        <f t="shared" si="2"/>
        <v>10</v>
      </c>
      <c r="N103" s="7">
        <v>10.0</v>
      </c>
      <c r="O103" s="7"/>
      <c r="P103" s="7">
        <f t="shared" si="3"/>
        <v>10</v>
      </c>
      <c r="Q103" s="7">
        <v>0.0</v>
      </c>
      <c r="R103" s="7"/>
      <c r="S103" s="7">
        <f t="shared" si="4"/>
        <v>0</v>
      </c>
      <c r="T103" s="7">
        <v>5.0</v>
      </c>
      <c r="U103" s="7"/>
      <c r="V103" s="7">
        <f t="shared" si="5"/>
        <v>5</v>
      </c>
      <c r="W103" s="7">
        <v>5.0</v>
      </c>
      <c r="X103" s="7"/>
      <c r="Y103" s="7">
        <f t="shared" si="6"/>
        <v>5</v>
      </c>
      <c r="Z103" s="7">
        <v>5.0</v>
      </c>
      <c r="AA103" s="7"/>
      <c r="AB103" s="7">
        <f t="shared" si="7"/>
        <v>5</v>
      </c>
      <c r="AC103" s="7">
        <v>0.0</v>
      </c>
      <c r="AD103" s="7"/>
      <c r="AE103" s="7">
        <f t="shared" si="8"/>
        <v>0</v>
      </c>
      <c r="AF103" s="10"/>
      <c r="AG103" s="10"/>
      <c r="AH103" s="10"/>
      <c r="AI103" s="10"/>
    </row>
    <row r="104" ht="30.0" customHeight="1">
      <c r="A104" s="7">
        <v>102.0</v>
      </c>
      <c r="B104" s="7">
        <v>4.7241366E7</v>
      </c>
      <c r="C104" s="7">
        <v>24.0</v>
      </c>
      <c r="D104" s="7">
        <v>70.0</v>
      </c>
      <c r="E104" s="8" t="s">
        <v>211</v>
      </c>
      <c r="F104" s="9" t="s">
        <v>212</v>
      </c>
      <c r="G104" s="7" t="s">
        <v>27</v>
      </c>
      <c r="H104" s="7">
        <v>25.0</v>
      </c>
      <c r="I104" s="7">
        <v>12.0</v>
      </c>
      <c r="J104" s="7">
        <f t="shared" si="1"/>
        <v>10</v>
      </c>
      <c r="K104" s="7">
        <v>10.0</v>
      </c>
      <c r="L104" s="7"/>
      <c r="M104" s="7">
        <f t="shared" si="2"/>
        <v>10</v>
      </c>
      <c r="N104" s="7">
        <v>0.0</v>
      </c>
      <c r="O104" s="7"/>
      <c r="P104" s="7">
        <f t="shared" si="3"/>
        <v>0</v>
      </c>
      <c r="Q104" s="7">
        <v>0.0</v>
      </c>
      <c r="R104" s="7"/>
      <c r="S104" s="7">
        <f t="shared" si="4"/>
        <v>0</v>
      </c>
      <c r="T104" s="7">
        <v>0.0</v>
      </c>
      <c r="U104" s="7"/>
      <c r="V104" s="7">
        <f t="shared" si="5"/>
        <v>0</v>
      </c>
      <c r="W104" s="7">
        <v>0.0</v>
      </c>
      <c r="X104" s="7"/>
      <c r="Y104" s="7">
        <f t="shared" si="6"/>
        <v>0</v>
      </c>
      <c r="Z104" s="7">
        <v>0.0</v>
      </c>
      <c r="AA104" s="7"/>
      <c r="AB104" s="7">
        <f t="shared" si="7"/>
        <v>0</v>
      </c>
      <c r="AC104" s="7">
        <v>0.0</v>
      </c>
      <c r="AD104" s="7"/>
      <c r="AE104" s="7">
        <f t="shared" si="8"/>
        <v>0</v>
      </c>
      <c r="AF104" s="10"/>
      <c r="AG104" s="10"/>
      <c r="AH104" s="10"/>
      <c r="AI104" s="10"/>
    </row>
    <row r="105" ht="30.0" customHeight="1">
      <c r="A105" s="7">
        <v>103.0</v>
      </c>
      <c r="B105" s="7">
        <v>4.5219126E7</v>
      </c>
      <c r="C105" s="7">
        <v>24.0</v>
      </c>
      <c r="D105" s="7">
        <v>70.0</v>
      </c>
      <c r="E105" s="8" t="s">
        <v>213</v>
      </c>
      <c r="F105" s="9" t="s">
        <v>214</v>
      </c>
      <c r="G105" s="7" t="s">
        <v>27</v>
      </c>
      <c r="H105" s="7">
        <v>40.0</v>
      </c>
      <c r="I105" s="7">
        <v>20.0</v>
      </c>
      <c r="J105" s="7">
        <f t="shared" si="1"/>
        <v>39</v>
      </c>
      <c r="K105" s="7">
        <v>8.0</v>
      </c>
      <c r="L105" s="7"/>
      <c r="M105" s="7">
        <f t="shared" si="2"/>
        <v>8</v>
      </c>
      <c r="N105" s="7">
        <v>8.0</v>
      </c>
      <c r="O105" s="7"/>
      <c r="P105" s="7">
        <f t="shared" si="3"/>
        <v>8</v>
      </c>
      <c r="Q105" s="7">
        <v>8.0</v>
      </c>
      <c r="R105" s="7"/>
      <c r="S105" s="7">
        <f t="shared" si="4"/>
        <v>8</v>
      </c>
      <c r="T105" s="7">
        <v>5.0</v>
      </c>
      <c r="U105" s="7"/>
      <c r="V105" s="7">
        <f t="shared" si="5"/>
        <v>5</v>
      </c>
      <c r="W105" s="7">
        <v>5.0</v>
      </c>
      <c r="X105" s="7"/>
      <c r="Y105" s="7">
        <f t="shared" si="6"/>
        <v>5</v>
      </c>
      <c r="Z105" s="7">
        <v>5.0</v>
      </c>
      <c r="AA105" s="7"/>
      <c r="AB105" s="7">
        <f t="shared" si="7"/>
        <v>5</v>
      </c>
      <c r="AC105" s="7">
        <v>0.0</v>
      </c>
      <c r="AD105" s="7"/>
      <c r="AE105" s="7">
        <f t="shared" si="8"/>
        <v>0</v>
      </c>
      <c r="AF105" s="7">
        <v>20.0</v>
      </c>
      <c r="AG105" s="7">
        <v>20.0</v>
      </c>
      <c r="AH105" s="7">
        <v>109.0</v>
      </c>
      <c r="AI105" s="11">
        <v>0.0</v>
      </c>
    </row>
    <row r="106" ht="30.0" customHeight="1">
      <c r="A106" s="7">
        <v>104.0</v>
      </c>
      <c r="B106" s="7">
        <v>4.5219072E7</v>
      </c>
      <c r="C106" s="7">
        <v>23.0</v>
      </c>
      <c r="D106" s="7">
        <v>10.0</v>
      </c>
      <c r="E106" s="8" t="s">
        <v>215</v>
      </c>
      <c r="F106" s="9" t="s">
        <v>216</v>
      </c>
      <c r="G106" s="7" t="s">
        <v>27</v>
      </c>
      <c r="H106" s="7">
        <v>30.0</v>
      </c>
      <c r="I106" s="7">
        <v>21.0</v>
      </c>
      <c r="J106" s="7">
        <f t="shared" si="1"/>
        <v>30</v>
      </c>
      <c r="K106" s="7">
        <v>30.0</v>
      </c>
      <c r="L106" s="7"/>
      <c r="M106" s="7">
        <f t="shared" si="2"/>
        <v>30</v>
      </c>
      <c r="N106" s="7">
        <v>0.0</v>
      </c>
      <c r="O106" s="7"/>
      <c r="P106" s="7">
        <f t="shared" si="3"/>
        <v>0</v>
      </c>
      <c r="Q106" s="7">
        <v>0.0</v>
      </c>
      <c r="R106" s="7"/>
      <c r="S106" s="7">
        <f t="shared" si="4"/>
        <v>0</v>
      </c>
      <c r="T106" s="7">
        <v>0.0</v>
      </c>
      <c r="U106" s="7"/>
      <c r="V106" s="7">
        <f t="shared" si="5"/>
        <v>0</v>
      </c>
      <c r="W106" s="7">
        <v>0.0</v>
      </c>
      <c r="X106" s="7"/>
      <c r="Y106" s="7">
        <f t="shared" si="6"/>
        <v>0</v>
      </c>
      <c r="Z106" s="7">
        <v>0.0</v>
      </c>
      <c r="AA106" s="7"/>
      <c r="AB106" s="7">
        <f t="shared" si="7"/>
        <v>0</v>
      </c>
      <c r="AC106" s="7">
        <v>0.0</v>
      </c>
      <c r="AD106" s="7"/>
      <c r="AE106" s="7">
        <f t="shared" si="8"/>
        <v>0</v>
      </c>
      <c r="AF106" s="10"/>
      <c r="AG106" s="10"/>
      <c r="AH106" s="10"/>
      <c r="AI106" s="10"/>
    </row>
    <row r="107" ht="30.0" customHeight="1">
      <c r="A107" s="7">
        <v>105.0</v>
      </c>
      <c r="B107" s="7">
        <v>4.5219114E7</v>
      </c>
      <c r="C107" s="7">
        <v>24.0</v>
      </c>
      <c r="D107" s="7">
        <v>70.0</v>
      </c>
      <c r="E107" s="8" t="s">
        <v>217</v>
      </c>
      <c r="F107" s="9" t="s">
        <v>218</v>
      </c>
      <c r="G107" s="7" t="s">
        <v>27</v>
      </c>
      <c r="H107" s="7">
        <v>20.0</v>
      </c>
      <c r="I107" s="7">
        <v>5.0</v>
      </c>
      <c r="J107" s="7">
        <f t="shared" si="1"/>
        <v>18</v>
      </c>
      <c r="K107" s="7">
        <v>3.0</v>
      </c>
      <c r="L107" s="7"/>
      <c r="M107" s="7">
        <f t="shared" si="2"/>
        <v>3</v>
      </c>
      <c r="N107" s="7">
        <v>3.0</v>
      </c>
      <c r="O107" s="7"/>
      <c r="P107" s="7">
        <f t="shared" si="3"/>
        <v>3</v>
      </c>
      <c r="Q107" s="7">
        <v>3.0</v>
      </c>
      <c r="R107" s="7"/>
      <c r="S107" s="7">
        <f t="shared" si="4"/>
        <v>3</v>
      </c>
      <c r="T107" s="7">
        <v>3.0</v>
      </c>
      <c r="U107" s="7"/>
      <c r="V107" s="7">
        <f t="shared" si="5"/>
        <v>3</v>
      </c>
      <c r="W107" s="7">
        <v>3.0</v>
      </c>
      <c r="X107" s="7"/>
      <c r="Y107" s="7">
        <f t="shared" si="6"/>
        <v>3</v>
      </c>
      <c r="Z107" s="7">
        <v>3.0</v>
      </c>
      <c r="AA107" s="7"/>
      <c r="AB107" s="7">
        <f t="shared" si="7"/>
        <v>3</v>
      </c>
      <c r="AC107" s="7">
        <v>0.0</v>
      </c>
      <c r="AD107" s="7"/>
      <c r="AE107" s="7">
        <f t="shared" si="8"/>
        <v>0</v>
      </c>
      <c r="AF107" s="10"/>
      <c r="AG107" s="10"/>
      <c r="AH107" s="10"/>
      <c r="AI107" s="10"/>
    </row>
    <row r="108" ht="30.0" customHeight="1">
      <c r="A108" s="7">
        <v>106.0</v>
      </c>
      <c r="B108" s="7">
        <v>4.2022289E7</v>
      </c>
      <c r="C108" s="7">
        <v>24.0</v>
      </c>
      <c r="D108" s="7">
        <v>70.0</v>
      </c>
      <c r="E108" s="8" t="s">
        <v>219</v>
      </c>
      <c r="F108" s="9" t="s">
        <v>220</v>
      </c>
      <c r="G108" s="7" t="s">
        <v>121</v>
      </c>
      <c r="H108" s="7">
        <v>16.0</v>
      </c>
      <c r="I108" s="7">
        <v>24.0</v>
      </c>
      <c r="J108" s="7">
        <f t="shared" si="1"/>
        <v>16</v>
      </c>
      <c r="K108" s="7">
        <v>8.0</v>
      </c>
      <c r="L108" s="7"/>
      <c r="M108" s="7">
        <f t="shared" si="2"/>
        <v>8</v>
      </c>
      <c r="N108" s="7">
        <v>2.0</v>
      </c>
      <c r="O108" s="7"/>
      <c r="P108" s="7">
        <f t="shared" si="3"/>
        <v>2</v>
      </c>
      <c r="Q108" s="7">
        <v>2.0</v>
      </c>
      <c r="R108" s="7"/>
      <c r="S108" s="7">
        <f t="shared" si="4"/>
        <v>2</v>
      </c>
      <c r="T108" s="7">
        <v>2.0</v>
      </c>
      <c r="U108" s="7"/>
      <c r="V108" s="7">
        <f t="shared" si="5"/>
        <v>2</v>
      </c>
      <c r="W108" s="7">
        <v>2.0</v>
      </c>
      <c r="X108" s="7"/>
      <c r="Y108" s="7">
        <f t="shared" si="6"/>
        <v>2</v>
      </c>
      <c r="Z108" s="7">
        <v>0.0</v>
      </c>
      <c r="AA108" s="7"/>
      <c r="AB108" s="7">
        <f t="shared" si="7"/>
        <v>0</v>
      </c>
      <c r="AC108" s="7">
        <v>0.0</v>
      </c>
      <c r="AD108" s="7"/>
      <c r="AE108" s="7">
        <f t="shared" si="8"/>
        <v>0</v>
      </c>
      <c r="AF108" s="7">
        <v>12.0</v>
      </c>
      <c r="AG108" s="7">
        <v>16.0</v>
      </c>
      <c r="AH108" s="7">
        <v>22.0</v>
      </c>
      <c r="AI108" s="11">
        <v>0.0</v>
      </c>
    </row>
    <row r="109" ht="30.0" customHeight="1">
      <c r="A109" s="7">
        <v>107.0</v>
      </c>
      <c r="B109" s="7">
        <v>4.5219084E7</v>
      </c>
      <c r="C109" s="7">
        <v>24.0</v>
      </c>
      <c r="D109" s="7">
        <v>70.0</v>
      </c>
      <c r="E109" s="8" t="s">
        <v>221</v>
      </c>
      <c r="F109" s="9" t="s">
        <v>222</v>
      </c>
      <c r="G109" s="7" t="s">
        <v>27</v>
      </c>
      <c r="H109" s="7">
        <v>6.0</v>
      </c>
      <c r="I109" s="7">
        <v>2.0</v>
      </c>
      <c r="J109" s="7">
        <f t="shared" si="1"/>
        <v>4</v>
      </c>
      <c r="K109" s="7">
        <v>4.0</v>
      </c>
      <c r="L109" s="7"/>
      <c r="M109" s="7">
        <f t="shared" si="2"/>
        <v>4</v>
      </c>
      <c r="N109" s="7">
        <v>0.0</v>
      </c>
      <c r="O109" s="7"/>
      <c r="P109" s="7">
        <f t="shared" si="3"/>
        <v>0</v>
      </c>
      <c r="Q109" s="7">
        <v>0.0</v>
      </c>
      <c r="R109" s="7"/>
      <c r="S109" s="7">
        <f t="shared" si="4"/>
        <v>0</v>
      </c>
      <c r="T109" s="7">
        <v>0.0</v>
      </c>
      <c r="U109" s="7"/>
      <c r="V109" s="7">
        <f t="shared" si="5"/>
        <v>0</v>
      </c>
      <c r="W109" s="7">
        <v>0.0</v>
      </c>
      <c r="X109" s="7"/>
      <c r="Y109" s="7">
        <f t="shared" si="6"/>
        <v>0</v>
      </c>
      <c r="Z109" s="7">
        <v>0.0</v>
      </c>
      <c r="AA109" s="7"/>
      <c r="AB109" s="7">
        <f t="shared" si="7"/>
        <v>0</v>
      </c>
      <c r="AC109" s="7">
        <v>0.0</v>
      </c>
      <c r="AD109" s="7"/>
      <c r="AE109" s="7">
        <f t="shared" si="8"/>
        <v>0</v>
      </c>
      <c r="AF109" s="11">
        <v>0.0</v>
      </c>
      <c r="AG109" s="7">
        <v>6.0</v>
      </c>
      <c r="AH109" s="7">
        <v>4.0</v>
      </c>
      <c r="AI109" s="11">
        <v>0.0</v>
      </c>
    </row>
    <row r="110" ht="30.0" customHeight="1">
      <c r="A110" s="7">
        <v>108.0</v>
      </c>
      <c r="B110" s="7">
        <v>4.2026945E7</v>
      </c>
      <c r="C110" s="7">
        <v>23.0</v>
      </c>
      <c r="D110" s="7">
        <v>10.0</v>
      </c>
      <c r="E110" s="8" t="s">
        <v>221</v>
      </c>
      <c r="F110" s="9" t="s">
        <v>223</v>
      </c>
      <c r="G110" s="7" t="s">
        <v>27</v>
      </c>
      <c r="H110" s="7">
        <v>4.0</v>
      </c>
      <c r="I110" s="7">
        <v>2.0</v>
      </c>
      <c r="J110" s="7">
        <f t="shared" si="1"/>
        <v>0</v>
      </c>
      <c r="K110" s="7">
        <v>0.0</v>
      </c>
      <c r="L110" s="7"/>
      <c r="M110" s="7">
        <f t="shared" si="2"/>
        <v>0</v>
      </c>
      <c r="N110" s="7">
        <v>0.0</v>
      </c>
      <c r="O110" s="7"/>
      <c r="P110" s="7">
        <f t="shared" si="3"/>
        <v>0</v>
      </c>
      <c r="Q110" s="7">
        <v>0.0</v>
      </c>
      <c r="R110" s="7"/>
      <c r="S110" s="7">
        <f t="shared" si="4"/>
        <v>0</v>
      </c>
      <c r="T110" s="7">
        <v>0.0</v>
      </c>
      <c r="U110" s="7"/>
      <c r="V110" s="7">
        <f t="shared" si="5"/>
        <v>0</v>
      </c>
      <c r="W110" s="7">
        <v>0.0</v>
      </c>
      <c r="X110" s="7"/>
      <c r="Y110" s="7">
        <f t="shared" si="6"/>
        <v>0</v>
      </c>
      <c r="Z110" s="7">
        <v>0.0</v>
      </c>
      <c r="AA110" s="7"/>
      <c r="AB110" s="7">
        <f t="shared" si="7"/>
        <v>0</v>
      </c>
      <c r="AC110" s="7">
        <v>0.0</v>
      </c>
      <c r="AD110" s="7"/>
      <c r="AE110" s="7">
        <f t="shared" si="8"/>
        <v>0</v>
      </c>
      <c r="AF110" s="10"/>
      <c r="AG110" s="10"/>
      <c r="AH110" s="10"/>
      <c r="AI110" s="10"/>
    </row>
    <row r="111" ht="30.0" customHeight="1">
      <c r="A111" s="7">
        <v>109.0</v>
      </c>
      <c r="B111" s="7">
        <v>4.20271E7</v>
      </c>
      <c r="C111" s="7">
        <v>24.0</v>
      </c>
      <c r="D111" s="7">
        <v>70.0</v>
      </c>
      <c r="E111" s="8" t="s">
        <v>224</v>
      </c>
      <c r="F111" s="9" t="s">
        <v>225</v>
      </c>
      <c r="G111" s="7" t="s">
        <v>27</v>
      </c>
      <c r="H111" s="7">
        <v>6.0</v>
      </c>
      <c r="I111" s="11">
        <v>0.0</v>
      </c>
      <c r="J111" s="7">
        <f t="shared" si="1"/>
        <v>6</v>
      </c>
      <c r="K111" s="7">
        <v>0.0</v>
      </c>
      <c r="L111" s="7"/>
      <c r="M111" s="7">
        <f t="shared" si="2"/>
        <v>0</v>
      </c>
      <c r="N111" s="7">
        <v>2.0</v>
      </c>
      <c r="O111" s="7"/>
      <c r="P111" s="7">
        <f t="shared" si="3"/>
        <v>2</v>
      </c>
      <c r="Q111" s="7">
        <v>4.0</v>
      </c>
      <c r="R111" s="7"/>
      <c r="S111" s="7">
        <f t="shared" si="4"/>
        <v>4</v>
      </c>
      <c r="T111" s="7">
        <v>0.0</v>
      </c>
      <c r="U111" s="7"/>
      <c r="V111" s="7">
        <f t="shared" si="5"/>
        <v>0</v>
      </c>
      <c r="W111" s="7">
        <v>0.0</v>
      </c>
      <c r="X111" s="7"/>
      <c r="Y111" s="7">
        <f t="shared" si="6"/>
        <v>0</v>
      </c>
      <c r="Z111" s="7">
        <v>0.0</v>
      </c>
      <c r="AA111" s="7"/>
      <c r="AB111" s="7">
        <f t="shared" si="7"/>
        <v>0</v>
      </c>
      <c r="AC111" s="7">
        <v>0.0</v>
      </c>
      <c r="AD111" s="7"/>
      <c r="AE111" s="7">
        <f t="shared" si="8"/>
        <v>0</v>
      </c>
      <c r="AF111" s="10"/>
      <c r="AG111" s="10"/>
      <c r="AH111" s="10"/>
      <c r="AI111" s="10"/>
    </row>
    <row r="112" ht="30.0" customHeight="1">
      <c r="A112" s="7">
        <v>110.0</v>
      </c>
      <c r="B112" s="7">
        <v>4.3900112E7</v>
      </c>
      <c r="C112" s="7">
        <v>24.0</v>
      </c>
      <c r="D112" s="7">
        <v>70.0</v>
      </c>
      <c r="E112" s="8" t="s">
        <v>226</v>
      </c>
      <c r="F112" s="9" t="s">
        <v>227</v>
      </c>
      <c r="G112" s="7" t="s">
        <v>27</v>
      </c>
      <c r="H112" s="7">
        <v>30.0</v>
      </c>
      <c r="I112" s="7">
        <v>51.0</v>
      </c>
      <c r="J112" s="7">
        <f t="shared" si="1"/>
        <v>26</v>
      </c>
      <c r="K112" s="7">
        <v>4.0</v>
      </c>
      <c r="L112" s="7"/>
      <c r="M112" s="7">
        <f t="shared" si="2"/>
        <v>4</v>
      </c>
      <c r="N112" s="7">
        <v>12.0</v>
      </c>
      <c r="O112" s="7"/>
      <c r="P112" s="7">
        <f t="shared" si="3"/>
        <v>12</v>
      </c>
      <c r="Q112" s="7">
        <v>10.0</v>
      </c>
      <c r="R112" s="7"/>
      <c r="S112" s="7">
        <f t="shared" si="4"/>
        <v>10</v>
      </c>
      <c r="T112" s="7">
        <v>0.0</v>
      </c>
      <c r="U112" s="7"/>
      <c r="V112" s="7">
        <f t="shared" si="5"/>
        <v>0</v>
      </c>
      <c r="W112" s="7">
        <v>0.0</v>
      </c>
      <c r="X112" s="7"/>
      <c r="Y112" s="7">
        <f t="shared" si="6"/>
        <v>0</v>
      </c>
      <c r="Z112" s="7">
        <v>0.0</v>
      </c>
      <c r="AA112" s="7"/>
      <c r="AB112" s="7">
        <f t="shared" si="7"/>
        <v>0</v>
      </c>
      <c r="AC112" s="7">
        <v>0.0</v>
      </c>
      <c r="AD112" s="7"/>
      <c r="AE112" s="7">
        <f t="shared" si="8"/>
        <v>0</v>
      </c>
      <c r="AF112" s="10"/>
      <c r="AG112" s="10"/>
      <c r="AH112" s="10"/>
      <c r="AI112" s="10"/>
    </row>
    <row r="113" ht="30.0" customHeight="1">
      <c r="A113" s="7">
        <v>111.0</v>
      </c>
      <c r="B113" s="7">
        <v>4.2901042E7</v>
      </c>
      <c r="C113" s="7">
        <v>24.0</v>
      </c>
      <c r="D113" s="7">
        <v>70.0</v>
      </c>
      <c r="E113" s="8" t="s">
        <v>228</v>
      </c>
      <c r="F113" s="9" t="s">
        <v>229</v>
      </c>
      <c r="G113" s="7" t="s">
        <v>27</v>
      </c>
      <c r="H113" s="7">
        <v>6.0</v>
      </c>
      <c r="I113" s="7">
        <v>1.0</v>
      </c>
      <c r="J113" s="7">
        <f t="shared" si="1"/>
        <v>6</v>
      </c>
      <c r="K113" s="7">
        <v>0.0</v>
      </c>
      <c r="L113" s="7"/>
      <c r="M113" s="7">
        <f t="shared" si="2"/>
        <v>0</v>
      </c>
      <c r="N113" s="7">
        <v>0.0</v>
      </c>
      <c r="O113" s="7"/>
      <c r="P113" s="7">
        <f t="shared" si="3"/>
        <v>0</v>
      </c>
      <c r="Q113" s="7">
        <v>6.0</v>
      </c>
      <c r="R113" s="7"/>
      <c r="S113" s="7">
        <f t="shared" si="4"/>
        <v>6</v>
      </c>
      <c r="T113" s="7">
        <v>0.0</v>
      </c>
      <c r="U113" s="7"/>
      <c r="V113" s="7">
        <f t="shared" si="5"/>
        <v>0</v>
      </c>
      <c r="W113" s="7">
        <v>0.0</v>
      </c>
      <c r="X113" s="7"/>
      <c r="Y113" s="7">
        <f t="shared" si="6"/>
        <v>0</v>
      </c>
      <c r="Z113" s="7">
        <v>0.0</v>
      </c>
      <c r="AA113" s="7"/>
      <c r="AB113" s="7">
        <f t="shared" si="7"/>
        <v>0</v>
      </c>
      <c r="AC113" s="7">
        <v>0.0</v>
      </c>
      <c r="AD113" s="7"/>
      <c r="AE113" s="7">
        <f t="shared" si="8"/>
        <v>0</v>
      </c>
      <c r="AF113" s="11">
        <v>0.0</v>
      </c>
      <c r="AG113" s="7">
        <v>7.0</v>
      </c>
      <c r="AH113" s="7">
        <v>4.0</v>
      </c>
      <c r="AI113" s="11">
        <v>0.0</v>
      </c>
    </row>
    <row r="114" ht="30.0" customHeight="1">
      <c r="A114" s="7">
        <v>112.0</v>
      </c>
      <c r="B114" s="7">
        <v>4.6210039E7</v>
      </c>
      <c r="C114" s="7">
        <v>24.0</v>
      </c>
      <c r="D114" s="7">
        <v>70.0</v>
      </c>
      <c r="E114" s="8" t="s">
        <v>230</v>
      </c>
      <c r="F114" s="9" t="s">
        <v>231</v>
      </c>
      <c r="G114" s="7" t="s">
        <v>27</v>
      </c>
      <c r="H114" s="7">
        <v>24.0</v>
      </c>
      <c r="I114" s="7">
        <v>16.0</v>
      </c>
      <c r="J114" s="7">
        <f t="shared" si="1"/>
        <v>24</v>
      </c>
      <c r="K114" s="7">
        <v>2.0</v>
      </c>
      <c r="L114" s="7"/>
      <c r="M114" s="7">
        <f t="shared" si="2"/>
        <v>2</v>
      </c>
      <c r="N114" s="7">
        <v>20.0</v>
      </c>
      <c r="O114" s="7"/>
      <c r="P114" s="7">
        <f t="shared" si="3"/>
        <v>20</v>
      </c>
      <c r="Q114" s="7">
        <v>2.0</v>
      </c>
      <c r="R114" s="7"/>
      <c r="S114" s="7">
        <f t="shared" si="4"/>
        <v>2</v>
      </c>
      <c r="T114" s="7">
        <v>0.0</v>
      </c>
      <c r="U114" s="7"/>
      <c r="V114" s="7">
        <f t="shared" si="5"/>
        <v>0</v>
      </c>
      <c r="W114" s="7">
        <v>0.0</v>
      </c>
      <c r="X114" s="7"/>
      <c r="Y114" s="7">
        <f t="shared" si="6"/>
        <v>0</v>
      </c>
      <c r="Z114" s="7">
        <v>0.0</v>
      </c>
      <c r="AA114" s="7"/>
      <c r="AB114" s="7">
        <f t="shared" si="7"/>
        <v>0</v>
      </c>
      <c r="AC114" s="7">
        <v>0.0</v>
      </c>
      <c r="AD114" s="7"/>
      <c r="AE114" s="7">
        <f t="shared" si="8"/>
        <v>0</v>
      </c>
      <c r="AF114" s="10"/>
      <c r="AG114" s="10"/>
      <c r="AH114" s="10"/>
      <c r="AI114" s="10"/>
    </row>
    <row r="115" ht="30.0" customHeight="1">
      <c r="A115" s="7">
        <v>113.0</v>
      </c>
      <c r="B115" s="7">
        <v>4.5219151E7</v>
      </c>
      <c r="C115" s="7">
        <v>23.0</v>
      </c>
      <c r="D115" s="7">
        <v>10.0</v>
      </c>
      <c r="E115" s="8" t="s">
        <v>232</v>
      </c>
      <c r="F115" s="9" t="s">
        <v>233</v>
      </c>
      <c r="G115" s="7" t="s">
        <v>121</v>
      </c>
      <c r="H115" s="7">
        <v>13.0</v>
      </c>
      <c r="I115" s="7">
        <v>6.0</v>
      </c>
      <c r="J115" s="7">
        <f t="shared" si="1"/>
        <v>10</v>
      </c>
      <c r="K115" s="7">
        <v>10.0</v>
      </c>
      <c r="L115" s="7"/>
      <c r="M115" s="7">
        <f t="shared" si="2"/>
        <v>10</v>
      </c>
      <c r="N115" s="7">
        <v>0.0</v>
      </c>
      <c r="O115" s="7"/>
      <c r="P115" s="7">
        <f t="shared" si="3"/>
        <v>0</v>
      </c>
      <c r="Q115" s="7">
        <v>0.0</v>
      </c>
      <c r="R115" s="7"/>
      <c r="S115" s="7">
        <f t="shared" si="4"/>
        <v>0</v>
      </c>
      <c r="T115" s="7">
        <v>0.0</v>
      </c>
      <c r="U115" s="7"/>
      <c r="V115" s="7">
        <f t="shared" si="5"/>
        <v>0</v>
      </c>
      <c r="W115" s="7">
        <v>0.0</v>
      </c>
      <c r="X115" s="7"/>
      <c r="Y115" s="7">
        <f t="shared" si="6"/>
        <v>0</v>
      </c>
      <c r="Z115" s="7">
        <v>0.0</v>
      </c>
      <c r="AA115" s="7"/>
      <c r="AB115" s="7">
        <f t="shared" si="7"/>
        <v>0</v>
      </c>
      <c r="AC115" s="7">
        <v>0.0</v>
      </c>
      <c r="AD115" s="7"/>
      <c r="AE115" s="7">
        <f t="shared" si="8"/>
        <v>0</v>
      </c>
      <c r="AF115" s="10"/>
      <c r="AG115" s="10"/>
      <c r="AH115" s="10"/>
      <c r="AI115" s="10"/>
    </row>
    <row r="116" ht="30.0" customHeight="1">
      <c r="A116" s="7">
        <v>114.0</v>
      </c>
      <c r="B116" s="7">
        <v>4.6150055E7</v>
      </c>
      <c r="C116" s="7">
        <v>24.0</v>
      </c>
      <c r="D116" s="7">
        <v>70.0</v>
      </c>
      <c r="E116" s="8" t="s">
        <v>234</v>
      </c>
      <c r="F116" s="9" t="s">
        <v>235</v>
      </c>
      <c r="G116" s="7" t="s">
        <v>27</v>
      </c>
      <c r="H116" s="7">
        <v>8.0</v>
      </c>
      <c r="I116" s="11">
        <v>0.0</v>
      </c>
      <c r="J116" s="7">
        <f t="shared" si="1"/>
        <v>0</v>
      </c>
      <c r="K116" s="7">
        <v>0.0</v>
      </c>
      <c r="L116" s="7"/>
      <c r="M116" s="7">
        <f t="shared" si="2"/>
        <v>0</v>
      </c>
      <c r="N116" s="7">
        <v>0.0</v>
      </c>
      <c r="O116" s="7"/>
      <c r="P116" s="7">
        <f t="shared" si="3"/>
        <v>0</v>
      </c>
      <c r="Q116" s="7">
        <v>0.0</v>
      </c>
      <c r="R116" s="7"/>
      <c r="S116" s="7">
        <f t="shared" si="4"/>
        <v>0</v>
      </c>
      <c r="T116" s="7">
        <v>0.0</v>
      </c>
      <c r="U116" s="7"/>
      <c r="V116" s="7">
        <f t="shared" si="5"/>
        <v>0</v>
      </c>
      <c r="W116" s="7">
        <v>0.0</v>
      </c>
      <c r="X116" s="7"/>
      <c r="Y116" s="7">
        <f t="shared" si="6"/>
        <v>0</v>
      </c>
      <c r="Z116" s="7">
        <v>0.0</v>
      </c>
      <c r="AA116" s="7"/>
      <c r="AB116" s="7">
        <f t="shared" si="7"/>
        <v>0</v>
      </c>
      <c r="AC116" s="7">
        <v>0.0</v>
      </c>
      <c r="AD116" s="7"/>
      <c r="AE116" s="7">
        <f t="shared" si="8"/>
        <v>0</v>
      </c>
      <c r="AF116" s="11">
        <v>0.0</v>
      </c>
      <c r="AG116" s="7">
        <v>6.0</v>
      </c>
      <c r="AH116" s="11">
        <v>0.0</v>
      </c>
      <c r="AI116" s="11">
        <v>0.0</v>
      </c>
    </row>
    <row r="117" ht="30.0" customHeight="1">
      <c r="A117" s="7">
        <v>115.0</v>
      </c>
      <c r="B117" s="7">
        <v>4.6150043E7</v>
      </c>
      <c r="C117" s="7">
        <v>24.0</v>
      </c>
      <c r="D117" s="7">
        <v>70.0</v>
      </c>
      <c r="E117" s="8" t="s">
        <v>236</v>
      </c>
      <c r="F117" s="9" t="s">
        <v>237</v>
      </c>
      <c r="G117" s="7" t="s">
        <v>27</v>
      </c>
      <c r="H117" s="7">
        <v>8.0</v>
      </c>
      <c r="I117" s="7">
        <v>8.0</v>
      </c>
      <c r="J117" s="7">
        <f t="shared" si="1"/>
        <v>8</v>
      </c>
      <c r="K117" s="7">
        <v>0.0</v>
      </c>
      <c r="L117" s="7"/>
      <c r="M117" s="7">
        <f t="shared" si="2"/>
        <v>0</v>
      </c>
      <c r="N117" s="7">
        <v>4.0</v>
      </c>
      <c r="O117" s="7"/>
      <c r="P117" s="7">
        <f t="shared" si="3"/>
        <v>4</v>
      </c>
      <c r="Q117" s="7">
        <v>4.0</v>
      </c>
      <c r="R117" s="7"/>
      <c r="S117" s="7">
        <f t="shared" si="4"/>
        <v>4</v>
      </c>
      <c r="T117" s="7">
        <v>0.0</v>
      </c>
      <c r="U117" s="7"/>
      <c r="V117" s="7">
        <f t="shared" si="5"/>
        <v>0</v>
      </c>
      <c r="W117" s="7">
        <v>0.0</v>
      </c>
      <c r="X117" s="7"/>
      <c r="Y117" s="7">
        <f t="shared" si="6"/>
        <v>0</v>
      </c>
      <c r="Z117" s="7">
        <v>0.0</v>
      </c>
      <c r="AA117" s="7"/>
      <c r="AB117" s="7">
        <f t="shared" si="7"/>
        <v>0</v>
      </c>
      <c r="AC117" s="7">
        <v>0.0</v>
      </c>
      <c r="AD117" s="7"/>
      <c r="AE117" s="7">
        <f t="shared" si="8"/>
        <v>0</v>
      </c>
      <c r="AF117" s="10"/>
      <c r="AG117" s="10"/>
      <c r="AH117" s="10"/>
      <c r="AI117" s="10"/>
    </row>
    <row r="118" ht="30.0" customHeight="1">
      <c r="A118" s="7">
        <v>116.0</v>
      </c>
      <c r="B118" s="7">
        <v>4.2901029E7</v>
      </c>
      <c r="C118" s="7">
        <v>24.0</v>
      </c>
      <c r="D118" s="7">
        <v>70.0</v>
      </c>
      <c r="E118" s="8" t="s">
        <v>238</v>
      </c>
      <c r="F118" s="9" t="s">
        <v>239</v>
      </c>
      <c r="G118" s="7" t="s">
        <v>27</v>
      </c>
      <c r="H118" s="7">
        <v>2.0</v>
      </c>
      <c r="I118" s="7">
        <v>2.0</v>
      </c>
      <c r="J118" s="7">
        <f t="shared" si="1"/>
        <v>2</v>
      </c>
      <c r="K118" s="7">
        <v>2.0</v>
      </c>
      <c r="L118" s="7"/>
      <c r="M118" s="7">
        <f t="shared" si="2"/>
        <v>2</v>
      </c>
      <c r="N118" s="7">
        <v>0.0</v>
      </c>
      <c r="O118" s="7"/>
      <c r="P118" s="7">
        <f t="shared" si="3"/>
        <v>0</v>
      </c>
      <c r="Q118" s="7">
        <v>0.0</v>
      </c>
      <c r="R118" s="7"/>
      <c r="S118" s="7">
        <f t="shared" si="4"/>
        <v>0</v>
      </c>
      <c r="T118" s="7">
        <v>0.0</v>
      </c>
      <c r="U118" s="7"/>
      <c r="V118" s="7">
        <f t="shared" si="5"/>
        <v>0</v>
      </c>
      <c r="W118" s="7">
        <v>0.0</v>
      </c>
      <c r="X118" s="7"/>
      <c r="Y118" s="7">
        <f t="shared" si="6"/>
        <v>0</v>
      </c>
      <c r="Z118" s="7">
        <v>0.0</v>
      </c>
      <c r="AA118" s="7"/>
      <c r="AB118" s="7">
        <f t="shared" si="7"/>
        <v>0</v>
      </c>
      <c r="AC118" s="7">
        <v>0.0</v>
      </c>
      <c r="AD118" s="7"/>
      <c r="AE118" s="7">
        <f t="shared" si="8"/>
        <v>0</v>
      </c>
      <c r="AF118" s="10"/>
      <c r="AG118" s="10"/>
      <c r="AH118" s="10"/>
      <c r="AI118" s="10"/>
    </row>
    <row r="119" ht="30.0" customHeight="1">
      <c r="A119" s="7">
        <v>117.0</v>
      </c>
      <c r="B119" s="7">
        <v>4.521914E7</v>
      </c>
      <c r="C119" s="7">
        <v>24.0</v>
      </c>
      <c r="D119" s="7">
        <v>70.0</v>
      </c>
      <c r="E119" s="8" t="s">
        <v>240</v>
      </c>
      <c r="F119" s="9" t="s">
        <v>241</v>
      </c>
      <c r="G119" s="7" t="s">
        <v>121</v>
      </c>
      <c r="H119" s="7">
        <v>4.0</v>
      </c>
      <c r="I119" s="11">
        <v>0.0</v>
      </c>
      <c r="J119" s="7">
        <f t="shared" si="1"/>
        <v>2</v>
      </c>
      <c r="K119" s="7">
        <v>2.0</v>
      </c>
      <c r="L119" s="7"/>
      <c r="M119" s="7">
        <f t="shared" si="2"/>
        <v>2</v>
      </c>
      <c r="N119" s="7">
        <v>0.0</v>
      </c>
      <c r="O119" s="7"/>
      <c r="P119" s="7">
        <f t="shared" si="3"/>
        <v>0</v>
      </c>
      <c r="Q119" s="7">
        <v>0.0</v>
      </c>
      <c r="R119" s="7"/>
      <c r="S119" s="7">
        <f t="shared" si="4"/>
        <v>0</v>
      </c>
      <c r="T119" s="7">
        <v>0.0</v>
      </c>
      <c r="U119" s="7"/>
      <c r="V119" s="7">
        <f t="shared" si="5"/>
        <v>0</v>
      </c>
      <c r="W119" s="7">
        <v>0.0</v>
      </c>
      <c r="X119" s="7"/>
      <c r="Y119" s="7">
        <f t="shared" si="6"/>
        <v>0</v>
      </c>
      <c r="Z119" s="7">
        <v>0.0</v>
      </c>
      <c r="AA119" s="7"/>
      <c r="AB119" s="7">
        <f t="shared" si="7"/>
        <v>0</v>
      </c>
      <c r="AC119" s="7">
        <v>0.0</v>
      </c>
      <c r="AD119" s="7"/>
      <c r="AE119" s="7">
        <f t="shared" si="8"/>
        <v>0</v>
      </c>
      <c r="AF119" s="11">
        <v>0.0</v>
      </c>
      <c r="AG119" s="7">
        <v>2.0</v>
      </c>
      <c r="AH119" s="7">
        <v>2.0</v>
      </c>
      <c r="AI119" s="11">
        <v>0.0</v>
      </c>
    </row>
    <row r="120" ht="30.0" customHeight="1">
      <c r="A120" s="7">
        <v>118.0</v>
      </c>
      <c r="B120" s="7">
        <v>4.3100065E7</v>
      </c>
      <c r="C120" s="7">
        <v>24.0</v>
      </c>
      <c r="D120" s="7">
        <v>70.0</v>
      </c>
      <c r="E120" s="8" t="s">
        <v>242</v>
      </c>
      <c r="F120" s="9" t="s">
        <v>243</v>
      </c>
      <c r="G120" s="7" t="s">
        <v>27</v>
      </c>
      <c r="H120" s="7">
        <v>2.0</v>
      </c>
      <c r="I120" s="11">
        <v>0.0</v>
      </c>
      <c r="J120" s="7">
        <f t="shared" si="1"/>
        <v>0</v>
      </c>
      <c r="K120" s="7">
        <v>0.0</v>
      </c>
      <c r="L120" s="7"/>
      <c r="M120" s="7">
        <f t="shared" si="2"/>
        <v>0</v>
      </c>
      <c r="N120" s="7">
        <v>0.0</v>
      </c>
      <c r="O120" s="7"/>
      <c r="P120" s="7">
        <f t="shared" si="3"/>
        <v>0</v>
      </c>
      <c r="Q120" s="7">
        <v>0.0</v>
      </c>
      <c r="R120" s="7"/>
      <c r="S120" s="7">
        <f t="shared" si="4"/>
        <v>0</v>
      </c>
      <c r="T120" s="7">
        <v>0.0</v>
      </c>
      <c r="U120" s="7"/>
      <c r="V120" s="7">
        <f t="shared" si="5"/>
        <v>0</v>
      </c>
      <c r="W120" s="7">
        <v>0.0</v>
      </c>
      <c r="X120" s="7"/>
      <c r="Y120" s="7">
        <f t="shared" si="6"/>
        <v>0</v>
      </c>
      <c r="Z120" s="7">
        <v>0.0</v>
      </c>
      <c r="AA120" s="7"/>
      <c r="AB120" s="7">
        <f t="shared" si="7"/>
        <v>0</v>
      </c>
      <c r="AC120" s="7">
        <v>0.0</v>
      </c>
      <c r="AD120" s="7"/>
      <c r="AE120" s="7">
        <f t="shared" si="8"/>
        <v>0</v>
      </c>
      <c r="AF120" s="11">
        <v>0.0</v>
      </c>
      <c r="AG120" s="7">
        <v>2.0</v>
      </c>
      <c r="AH120" s="7">
        <v>2.0</v>
      </c>
      <c r="AI120" s="11">
        <v>0.0</v>
      </c>
    </row>
    <row r="121" ht="30.0" customHeight="1">
      <c r="A121" s="7">
        <v>119.0</v>
      </c>
      <c r="B121" s="7">
        <v>4.202795E7</v>
      </c>
      <c r="C121" s="7">
        <v>24.0</v>
      </c>
      <c r="D121" s="7">
        <v>70.0</v>
      </c>
      <c r="E121" s="8" t="s">
        <v>244</v>
      </c>
      <c r="F121" s="9" t="s">
        <v>245</v>
      </c>
      <c r="G121" s="7" t="s">
        <v>27</v>
      </c>
      <c r="H121" s="7">
        <v>2.0</v>
      </c>
      <c r="I121" s="7">
        <v>2.0</v>
      </c>
      <c r="J121" s="7">
        <f t="shared" si="1"/>
        <v>1</v>
      </c>
      <c r="K121" s="7">
        <v>1.0</v>
      </c>
      <c r="L121" s="7"/>
      <c r="M121" s="7">
        <f t="shared" si="2"/>
        <v>1</v>
      </c>
      <c r="N121" s="7">
        <v>0.0</v>
      </c>
      <c r="O121" s="7"/>
      <c r="P121" s="7">
        <f t="shared" si="3"/>
        <v>0</v>
      </c>
      <c r="Q121" s="7">
        <v>0.0</v>
      </c>
      <c r="R121" s="7"/>
      <c r="S121" s="7">
        <f t="shared" si="4"/>
        <v>0</v>
      </c>
      <c r="T121" s="7">
        <v>0.0</v>
      </c>
      <c r="U121" s="7"/>
      <c r="V121" s="7">
        <f t="shared" si="5"/>
        <v>0</v>
      </c>
      <c r="W121" s="7">
        <v>0.0</v>
      </c>
      <c r="X121" s="7"/>
      <c r="Y121" s="7">
        <f t="shared" si="6"/>
        <v>0</v>
      </c>
      <c r="Z121" s="7">
        <v>0.0</v>
      </c>
      <c r="AA121" s="7"/>
      <c r="AB121" s="7">
        <f t="shared" si="7"/>
        <v>0</v>
      </c>
      <c r="AC121" s="7">
        <v>0.0</v>
      </c>
      <c r="AD121" s="7"/>
      <c r="AE121" s="7">
        <f t="shared" si="8"/>
        <v>0</v>
      </c>
      <c r="AF121" s="10"/>
      <c r="AG121" s="10"/>
      <c r="AH121" s="10"/>
      <c r="AI121" s="10"/>
    </row>
    <row r="122" ht="30.0" customHeight="1">
      <c r="A122" s="7">
        <v>120.0</v>
      </c>
      <c r="B122" s="7">
        <v>4.7241342E7</v>
      </c>
      <c r="C122" s="7">
        <v>24.0</v>
      </c>
      <c r="D122" s="7">
        <v>70.0</v>
      </c>
      <c r="E122" s="8" t="s">
        <v>246</v>
      </c>
      <c r="F122" s="9" t="s">
        <v>247</v>
      </c>
      <c r="G122" s="7" t="s">
        <v>27</v>
      </c>
      <c r="H122" s="7">
        <v>11.0</v>
      </c>
      <c r="I122" s="7">
        <v>1.0</v>
      </c>
      <c r="J122" s="7">
        <f t="shared" si="1"/>
        <v>0</v>
      </c>
      <c r="K122" s="7">
        <v>0.0</v>
      </c>
      <c r="L122" s="7"/>
      <c r="M122" s="7">
        <f t="shared" si="2"/>
        <v>0</v>
      </c>
      <c r="N122" s="7">
        <v>0.0</v>
      </c>
      <c r="O122" s="7"/>
      <c r="P122" s="7">
        <f t="shared" si="3"/>
        <v>0</v>
      </c>
      <c r="Q122" s="7">
        <v>0.0</v>
      </c>
      <c r="R122" s="7"/>
      <c r="S122" s="7">
        <f t="shared" si="4"/>
        <v>0</v>
      </c>
      <c r="T122" s="7">
        <v>0.0</v>
      </c>
      <c r="U122" s="7"/>
      <c r="V122" s="7">
        <f t="shared" si="5"/>
        <v>0</v>
      </c>
      <c r="W122" s="7">
        <v>0.0</v>
      </c>
      <c r="X122" s="7"/>
      <c r="Y122" s="7">
        <f t="shared" si="6"/>
        <v>0</v>
      </c>
      <c r="Z122" s="7">
        <v>0.0</v>
      </c>
      <c r="AA122" s="7"/>
      <c r="AB122" s="7">
        <f t="shared" si="7"/>
        <v>0</v>
      </c>
      <c r="AC122" s="7">
        <v>0.0</v>
      </c>
      <c r="AD122" s="7"/>
      <c r="AE122" s="7">
        <f t="shared" si="8"/>
        <v>0</v>
      </c>
      <c r="AF122" s="10"/>
      <c r="AG122" s="10"/>
      <c r="AH122" s="10"/>
      <c r="AI122" s="10"/>
    </row>
    <row r="123" ht="30.0" customHeight="1">
      <c r="A123" s="7">
        <v>121.0</v>
      </c>
      <c r="B123" s="7">
        <v>4.3290012E7</v>
      </c>
      <c r="C123" s="7">
        <v>24.0</v>
      </c>
      <c r="D123" s="7">
        <v>70.0</v>
      </c>
      <c r="E123" s="8" t="s">
        <v>248</v>
      </c>
      <c r="F123" s="9" t="s">
        <v>249</v>
      </c>
      <c r="G123" s="7" t="s">
        <v>121</v>
      </c>
      <c r="H123" s="7">
        <v>4.0</v>
      </c>
      <c r="I123" s="7">
        <v>1.0</v>
      </c>
      <c r="J123" s="7">
        <f t="shared" si="1"/>
        <v>1</v>
      </c>
      <c r="K123" s="7">
        <v>0.0</v>
      </c>
      <c r="L123" s="7"/>
      <c r="M123" s="7">
        <f t="shared" si="2"/>
        <v>0</v>
      </c>
      <c r="N123" s="7">
        <v>0.0</v>
      </c>
      <c r="O123" s="7"/>
      <c r="P123" s="7">
        <f t="shared" si="3"/>
        <v>0</v>
      </c>
      <c r="Q123" s="7">
        <v>0.0</v>
      </c>
      <c r="R123" s="7"/>
      <c r="S123" s="7">
        <f t="shared" si="4"/>
        <v>0</v>
      </c>
      <c r="T123" s="7">
        <v>0.0</v>
      </c>
      <c r="U123" s="7"/>
      <c r="V123" s="7">
        <f t="shared" si="5"/>
        <v>0</v>
      </c>
      <c r="W123" s="7">
        <v>0.0</v>
      </c>
      <c r="X123" s="7"/>
      <c r="Y123" s="7">
        <f t="shared" si="6"/>
        <v>0</v>
      </c>
      <c r="Z123" s="7">
        <v>1.0</v>
      </c>
      <c r="AA123" s="7"/>
      <c r="AB123" s="7">
        <f t="shared" si="7"/>
        <v>1</v>
      </c>
      <c r="AC123" s="7">
        <v>0.0</v>
      </c>
      <c r="AD123" s="7"/>
      <c r="AE123" s="7">
        <f t="shared" si="8"/>
        <v>0</v>
      </c>
      <c r="AF123" s="10"/>
      <c r="AG123" s="10"/>
      <c r="AH123" s="10"/>
      <c r="AI123" s="10"/>
    </row>
    <row r="124" ht="30.0" customHeight="1">
      <c r="A124" s="7">
        <v>122.0</v>
      </c>
      <c r="B124" s="7">
        <v>4.39001E7</v>
      </c>
      <c r="C124" s="7">
        <v>23.0</v>
      </c>
      <c r="D124" s="7">
        <v>70.0</v>
      </c>
      <c r="E124" s="8" t="s">
        <v>250</v>
      </c>
      <c r="F124" s="9" t="s">
        <v>251</v>
      </c>
      <c r="G124" s="7" t="s">
        <v>27</v>
      </c>
      <c r="H124" s="7">
        <v>30.0</v>
      </c>
      <c r="I124" s="7">
        <v>24.0</v>
      </c>
      <c r="J124" s="7">
        <f t="shared" si="1"/>
        <v>30</v>
      </c>
      <c r="K124" s="7">
        <v>10.0</v>
      </c>
      <c r="L124" s="7"/>
      <c r="M124" s="7">
        <f t="shared" si="2"/>
        <v>10</v>
      </c>
      <c r="N124" s="7">
        <v>0.0</v>
      </c>
      <c r="O124" s="7"/>
      <c r="P124" s="7">
        <f t="shared" si="3"/>
        <v>0</v>
      </c>
      <c r="Q124" s="7">
        <v>10.0</v>
      </c>
      <c r="R124" s="7"/>
      <c r="S124" s="7">
        <f t="shared" si="4"/>
        <v>10</v>
      </c>
      <c r="T124" s="7">
        <v>0.0</v>
      </c>
      <c r="U124" s="7"/>
      <c r="V124" s="7">
        <f t="shared" si="5"/>
        <v>0</v>
      </c>
      <c r="W124" s="7">
        <v>0.0</v>
      </c>
      <c r="X124" s="7"/>
      <c r="Y124" s="7">
        <f t="shared" si="6"/>
        <v>0</v>
      </c>
      <c r="Z124" s="7">
        <v>10.0</v>
      </c>
      <c r="AA124" s="7"/>
      <c r="AB124" s="7">
        <f t="shared" si="7"/>
        <v>10</v>
      </c>
      <c r="AC124" s="7">
        <v>0.0</v>
      </c>
      <c r="AD124" s="7"/>
      <c r="AE124" s="7">
        <f t="shared" si="8"/>
        <v>0</v>
      </c>
      <c r="AF124" s="10"/>
      <c r="AG124" s="10"/>
      <c r="AH124" s="10"/>
      <c r="AI124" s="10"/>
    </row>
    <row r="125" ht="30.0" customHeight="1">
      <c r="A125" s="7">
        <v>123.0</v>
      </c>
      <c r="B125" s="7">
        <v>4.5210019E7</v>
      </c>
      <c r="C125" s="7">
        <v>24.0</v>
      </c>
      <c r="D125" s="7">
        <v>70.0</v>
      </c>
      <c r="E125" s="8" t="s">
        <v>252</v>
      </c>
      <c r="F125" s="9" t="s">
        <v>253</v>
      </c>
      <c r="G125" s="7" t="s">
        <v>27</v>
      </c>
      <c r="H125" s="7">
        <v>10.0</v>
      </c>
      <c r="I125" s="7">
        <v>12.0</v>
      </c>
      <c r="J125" s="7">
        <f t="shared" si="1"/>
        <v>10</v>
      </c>
      <c r="K125" s="7">
        <v>10.0</v>
      </c>
      <c r="L125" s="7"/>
      <c r="M125" s="7">
        <f t="shared" si="2"/>
        <v>10</v>
      </c>
      <c r="N125" s="7">
        <v>0.0</v>
      </c>
      <c r="O125" s="7"/>
      <c r="P125" s="7">
        <f t="shared" si="3"/>
        <v>0</v>
      </c>
      <c r="Q125" s="7">
        <v>0.0</v>
      </c>
      <c r="R125" s="7"/>
      <c r="S125" s="7">
        <f t="shared" si="4"/>
        <v>0</v>
      </c>
      <c r="T125" s="7">
        <v>0.0</v>
      </c>
      <c r="U125" s="7"/>
      <c r="V125" s="7">
        <f t="shared" si="5"/>
        <v>0</v>
      </c>
      <c r="W125" s="7">
        <v>0.0</v>
      </c>
      <c r="X125" s="7"/>
      <c r="Y125" s="7">
        <f t="shared" si="6"/>
        <v>0</v>
      </c>
      <c r="Z125" s="7">
        <v>0.0</v>
      </c>
      <c r="AA125" s="7"/>
      <c r="AB125" s="7">
        <f t="shared" si="7"/>
        <v>0</v>
      </c>
      <c r="AC125" s="7">
        <v>0.0</v>
      </c>
      <c r="AD125" s="7"/>
      <c r="AE125" s="7">
        <f t="shared" si="8"/>
        <v>0</v>
      </c>
      <c r="AF125" s="10"/>
      <c r="AG125" s="10"/>
      <c r="AH125" s="10"/>
      <c r="AI125" s="10"/>
    </row>
    <row r="126" ht="30.0" customHeight="1">
      <c r="A126" s="7">
        <v>124.0</v>
      </c>
      <c r="B126" s="7">
        <v>4.5219187E7</v>
      </c>
      <c r="C126" s="7">
        <v>24.0</v>
      </c>
      <c r="D126" s="7">
        <v>70.0</v>
      </c>
      <c r="E126" s="8" t="s">
        <v>254</v>
      </c>
      <c r="F126" s="9" t="s">
        <v>255</v>
      </c>
      <c r="G126" s="7" t="s">
        <v>27</v>
      </c>
      <c r="H126" s="7">
        <v>50.0</v>
      </c>
      <c r="I126" s="7">
        <v>4.0</v>
      </c>
      <c r="J126" s="7">
        <f t="shared" si="1"/>
        <v>36</v>
      </c>
      <c r="K126" s="7">
        <v>20.0</v>
      </c>
      <c r="L126" s="7"/>
      <c r="M126" s="7">
        <f t="shared" si="2"/>
        <v>20</v>
      </c>
      <c r="N126" s="7">
        <v>0.0</v>
      </c>
      <c r="O126" s="7"/>
      <c r="P126" s="7">
        <f t="shared" si="3"/>
        <v>0</v>
      </c>
      <c r="Q126" s="7">
        <v>11.0</v>
      </c>
      <c r="R126" s="7"/>
      <c r="S126" s="7">
        <f t="shared" si="4"/>
        <v>11</v>
      </c>
      <c r="T126" s="7">
        <v>0.0</v>
      </c>
      <c r="U126" s="7"/>
      <c r="V126" s="7">
        <f t="shared" si="5"/>
        <v>0</v>
      </c>
      <c r="W126" s="7">
        <v>0.0</v>
      </c>
      <c r="X126" s="7"/>
      <c r="Y126" s="7">
        <f t="shared" si="6"/>
        <v>0</v>
      </c>
      <c r="Z126" s="7">
        <v>5.0</v>
      </c>
      <c r="AA126" s="7"/>
      <c r="AB126" s="7">
        <f t="shared" si="7"/>
        <v>5</v>
      </c>
      <c r="AC126" s="7">
        <v>0.0</v>
      </c>
      <c r="AD126" s="7"/>
      <c r="AE126" s="7">
        <f t="shared" si="8"/>
        <v>0</v>
      </c>
      <c r="AF126" s="10"/>
      <c r="AG126" s="10"/>
      <c r="AH126" s="10"/>
      <c r="AI126" s="10"/>
    </row>
    <row r="127" ht="30.0" customHeight="1">
      <c r="A127" s="7">
        <v>125.0</v>
      </c>
      <c r="B127" s="7">
        <v>4.7241664E7</v>
      </c>
      <c r="C127" s="7">
        <v>24.0</v>
      </c>
      <c r="D127" s="7">
        <v>70.0</v>
      </c>
      <c r="E127" s="8" t="s">
        <v>256</v>
      </c>
      <c r="F127" s="9" t="s">
        <v>257</v>
      </c>
      <c r="G127" s="7" t="s">
        <v>27</v>
      </c>
      <c r="H127" s="7">
        <v>40.0</v>
      </c>
      <c r="I127" s="7">
        <v>21.0</v>
      </c>
      <c r="J127" s="7">
        <f t="shared" si="1"/>
        <v>30</v>
      </c>
      <c r="K127" s="7">
        <v>10.0</v>
      </c>
      <c r="L127" s="7"/>
      <c r="M127" s="7">
        <f t="shared" si="2"/>
        <v>10</v>
      </c>
      <c r="N127" s="7">
        <v>10.0</v>
      </c>
      <c r="O127" s="7"/>
      <c r="P127" s="7">
        <f t="shared" si="3"/>
        <v>10</v>
      </c>
      <c r="Q127" s="7">
        <v>0.0</v>
      </c>
      <c r="R127" s="7"/>
      <c r="S127" s="7">
        <f t="shared" si="4"/>
        <v>0</v>
      </c>
      <c r="T127" s="7">
        <v>0.0</v>
      </c>
      <c r="U127" s="7"/>
      <c r="V127" s="7">
        <f t="shared" si="5"/>
        <v>0</v>
      </c>
      <c r="W127" s="7">
        <v>0.0</v>
      </c>
      <c r="X127" s="7"/>
      <c r="Y127" s="7">
        <f t="shared" si="6"/>
        <v>0</v>
      </c>
      <c r="Z127" s="7">
        <v>10.0</v>
      </c>
      <c r="AA127" s="7"/>
      <c r="AB127" s="7">
        <f t="shared" si="7"/>
        <v>10</v>
      </c>
      <c r="AC127" s="7">
        <v>0.0</v>
      </c>
      <c r="AD127" s="7"/>
      <c r="AE127" s="7">
        <f t="shared" si="8"/>
        <v>0</v>
      </c>
      <c r="AF127" s="10"/>
      <c r="AG127" s="10"/>
      <c r="AH127" s="10"/>
      <c r="AI127" s="10"/>
    </row>
    <row r="128" ht="30.0" customHeight="1">
      <c r="A128" s="7">
        <v>126.0</v>
      </c>
      <c r="B128" s="7">
        <v>4.72415E7</v>
      </c>
      <c r="C128" s="7">
        <v>24.0</v>
      </c>
      <c r="D128" s="7">
        <v>70.0</v>
      </c>
      <c r="E128" s="8" t="s">
        <v>258</v>
      </c>
      <c r="F128" s="9" t="s">
        <v>259</v>
      </c>
      <c r="G128" s="7" t="s">
        <v>27</v>
      </c>
      <c r="H128" s="7">
        <v>18.0</v>
      </c>
      <c r="I128" s="7">
        <v>27.0</v>
      </c>
      <c r="J128" s="7">
        <f t="shared" si="1"/>
        <v>18</v>
      </c>
      <c r="K128" s="7">
        <v>16.0</v>
      </c>
      <c r="L128" s="7"/>
      <c r="M128" s="7">
        <f t="shared" si="2"/>
        <v>16</v>
      </c>
      <c r="N128" s="7">
        <v>0.0</v>
      </c>
      <c r="O128" s="7"/>
      <c r="P128" s="7">
        <f t="shared" si="3"/>
        <v>0</v>
      </c>
      <c r="Q128" s="7">
        <v>0.0</v>
      </c>
      <c r="R128" s="7"/>
      <c r="S128" s="7">
        <f t="shared" si="4"/>
        <v>0</v>
      </c>
      <c r="T128" s="7">
        <v>0.0</v>
      </c>
      <c r="U128" s="7"/>
      <c r="V128" s="7">
        <f t="shared" si="5"/>
        <v>0</v>
      </c>
      <c r="W128" s="7">
        <v>0.0</v>
      </c>
      <c r="X128" s="7"/>
      <c r="Y128" s="7">
        <f t="shared" si="6"/>
        <v>0</v>
      </c>
      <c r="Z128" s="7">
        <v>2.0</v>
      </c>
      <c r="AA128" s="7"/>
      <c r="AB128" s="7">
        <f t="shared" si="7"/>
        <v>2</v>
      </c>
      <c r="AC128" s="7">
        <v>0.0</v>
      </c>
      <c r="AD128" s="7"/>
      <c r="AE128" s="7">
        <f t="shared" si="8"/>
        <v>0</v>
      </c>
      <c r="AF128" s="7">
        <v>9.0</v>
      </c>
      <c r="AG128" s="7">
        <v>18.0</v>
      </c>
      <c r="AH128" s="7">
        <v>18.0</v>
      </c>
      <c r="AI128" s="11">
        <v>0.0</v>
      </c>
    </row>
    <row r="129" ht="30.0" customHeight="1">
      <c r="A129" s="7">
        <v>127.0</v>
      </c>
      <c r="B129" s="7">
        <v>4.2022228E7</v>
      </c>
      <c r="C129" s="7">
        <v>24.0</v>
      </c>
      <c r="D129" s="7">
        <v>70.0</v>
      </c>
      <c r="E129" s="8" t="s">
        <v>258</v>
      </c>
      <c r="F129" s="9" t="s">
        <v>260</v>
      </c>
      <c r="G129" s="7" t="s">
        <v>27</v>
      </c>
      <c r="H129" s="7">
        <v>2.0</v>
      </c>
      <c r="I129" s="11">
        <v>0.0</v>
      </c>
      <c r="J129" s="7">
        <f t="shared" si="1"/>
        <v>2</v>
      </c>
      <c r="K129" s="7">
        <v>0.0</v>
      </c>
      <c r="L129" s="7"/>
      <c r="M129" s="7">
        <f t="shared" si="2"/>
        <v>0</v>
      </c>
      <c r="N129" s="7">
        <v>0.0</v>
      </c>
      <c r="O129" s="7"/>
      <c r="P129" s="7">
        <f t="shared" si="3"/>
        <v>0</v>
      </c>
      <c r="Q129" s="7">
        <v>0.0</v>
      </c>
      <c r="R129" s="7"/>
      <c r="S129" s="7">
        <f t="shared" si="4"/>
        <v>0</v>
      </c>
      <c r="T129" s="7">
        <v>0.0</v>
      </c>
      <c r="U129" s="7"/>
      <c r="V129" s="7">
        <f t="shared" si="5"/>
        <v>0</v>
      </c>
      <c r="W129" s="7">
        <v>0.0</v>
      </c>
      <c r="X129" s="7"/>
      <c r="Y129" s="7">
        <f t="shared" si="6"/>
        <v>0</v>
      </c>
      <c r="Z129" s="7">
        <v>2.0</v>
      </c>
      <c r="AA129" s="7"/>
      <c r="AB129" s="7">
        <f t="shared" si="7"/>
        <v>2</v>
      </c>
      <c r="AC129" s="7">
        <v>0.0</v>
      </c>
      <c r="AD129" s="7"/>
      <c r="AE129" s="7">
        <f t="shared" si="8"/>
        <v>0</v>
      </c>
      <c r="AF129" s="11">
        <v>0.0</v>
      </c>
      <c r="AG129" s="7">
        <v>4.0</v>
      </c>
      <c r="AH129" s="11">
        <v>0.0</v>
      </c>
      <c r="AI129" s="11">
        <v>0.0</v>
      </c>
    </row>
    <row r="130" ht="30.0" customHeight="1">
      <c r="A130" s="7">
        <v>128.0</v>
      </c>
      <c r="B130" s="7">
        <v>4.2022216E7</v>
      </c>
      <c r="C130" s="7">
        <v>24.0</v>
      </c>
      <c r="D130" s="7">
        <v>70.0</v>
      </c>
      <c r="E130" s="8" t="s">
        <v>261</v>
      </c>
      <c r="F130" s="9" t="s">
        <v>262</v>
      </c>
      <c r="G130" s="7" t="s">
        <v>27</v>
      </c>
      <c r="H130" s="7">
        <v>6.0</v>
      </c>
      <c r="I130" s="11">
        <v>0.0</v>
      </c>
      <c r="J130" s="7">
        <f t="shared" si="1"/>
        <v>0</v>
      </c>
      <c r="K130" s="7">
        <v>0.0</v>
      </c>
      <c r="L130" s="7"/>
      <c r="M130" s="7">
        <f t="shared" si="2"/>
        <v>0</v>
      </c>
      <c r="N130" s="7">
        <v>0.0</v>
      </c>
      <c r="O130" s="7"/>
      <c r="P130" s="7">
        <f t="shared" si="3"/>
        <v>0</v>
      </c>
      <c r="Q130" s="7">
        <v>0.0</v>
      </c>
      <c r="R130" s="7"/>
      <c r="S130" s="7">
        <f t="shared" si="4"/>
        <v>0</v>
      </c>
      <c r="T130" s="7">
        <v>0.0</v>
      </c>
      <c r="U130" s="7"/>
      <c r="V130" s="7">
        <f t="shared" si="5"/>
        <v>0</v>
      </c>
      <c r="W130" s="7">
        <v>0.0</v>
      </c>
      <c r="X130" s="7"/>
      <c r="Y130" s="7">
        <f t="shared" si="6"/>
        <v>0</v>
      </c>
      <c r="Z130" s="7">
        <v>0.0</v>
      </c>
      <c r="AA130" s="7"/>
      <c r="AB130" s="7">
        <f t="shared" si="7"/>
        <v>0</v>
      </c>
      <c r="AC130" s="7">
        <v>0.0</v>
      </c>
      <c r="AD130" s="7"/>
      <c r="AE130" s="7">
        <f t="shared" si="8"/>
        <v>0</v>
      </c>
      <c r="AF130" s="7">
        <v>5.0</v>
      </c>
      <c r="AG130" s="11">
        <v>0.0</v>
      </c>
      <c r="AH130" s="7">
        <v>6.0</v>
      </c>
      <c r="AI130" s="11">
        <v>0.0</v>
      </c>
    </row>
    <row r="131" ht="30.0" customHeight="1">
      <c r="A131" s="7">
        <v>129.0</v>
      </c>
      <c r="B131" s="7">
        <v>4.2060138E7</v>
      </c>
      <c r="C131" s="7">
        <v>23.0</v>
      </c>
      <c r="D131" s="7">
        <v>10.0</v>
      </c>
      <c r="E131" s="8" t="s">
        <v>263</v>
      </c>
      <c r="F131" s="9" t="s">
        <v>264</v>
      </c>
      <c r="G131" s="7" t="s">
        <v>27</v>
      </c>
      <c r="H131" s="7">
        <v>101.0</v>
      </c>
      <c r="I131" s="7">
        <v>223.0</v>
      </c>
      <c r="J131" s="7">
        <f t="shared" si="1"/>
        <v>90</v>
      </c>
      <c r="K131" s="7">
        <v>20.0</v>
      </c>
      <c r="L131" s="7"/>
      <c r="M131" s="7">
        <f t="shared" si="2"/>
        <v>20</v>
      </c>
      <c r="N131" s="7">
        <v>20.0</v>
      </c>
      <c r="O131" s="7"/>
      <c r="P131" s="7">
        <f t="shared" si="3"/>
        <v>20</v>
      </c>
      <c r="Q131" s="7">
        <v>20.0</v>
      </c>
      <c r="R131" s="7"/>
      <c r="S131" s="7">
        <f t="shared" si="4"/>
        <v>20</v>
      </c>
      <c r="T131" s="7">
        <v>10.0</v>
      </c>
      <c r="U131" s="7"/>
      <c r="V131" s="7">
        <f t="shared" si="5"/>
        <v>10</v>
      </c>
      <c r="W131" s="7">
        <v>10.0</v>
      </c>
      <c r="X131" s="7"/>
      <c r="Y131" s="7">
        <f t="shared" si="6"/>
        <v>10</v>
      </c>
      <c r="Z131" s="7">
        <v>10.0</v>
      </c>
      <c r="AA131" s="7"/>
      <c r="AB131" s="7">
        <f t="shared" si="7"/>
        <v>10</v>
      </c>
      <c r="AC131" s="7">
        <v>0.0</v>
      </c>
      <c r="AD131" s="7"/>
      <c r="AE131" s="7">
        <f t="shared" si="8"/>
        <v>0</v>
      </c>
      <c r="AF131" s="10"/>
      <c r="AG131" s="10"/>
      <c r="AH131" s="10"/>
      <c r="AI131" s="10"/>
    </row>
    <row r="132" ht="30.0" customHeight="1">
      <c r="A132" s="7">
        <v>130.0</v>
      </c>
      <c r="B132" s="7">
        <v>4.7241421E7</v>
      </c>
      <c r="C132" s="7">
        <v>24.0</v>
      </c>
      <c r="D132" s="7">
        <v>70.0</v>
      </c>
      <c r="E132" s="8" t="s">
        <v>265</v>
      </c>
      <c r="F132" s="9" t="s">
        <v>266</v>
      </c>
      <c r="G132" s="7" t="s">
        <v>27</v>
      </c>
      <c r="H132" s="7">
        <v>40.0</v>
      </c>
      <c r="I132" s="7">
        <v>34.0</v>
      </c>
      <c r="J132" s="7">
        <f t="shared" si="1"/>
        <v>40</v>
      </c>
      <c r="K132" s="7">
        <v>10.0</v>
      </c>
      <c r="L132" s="7"/>
      <c r="M132" s="7">
        <f t="shared" si="2"/>
        <v>10</v>
      </c>
      <c r="N132" s="7">
        <v>10.0</v>
      </c>
      <c r="O132" s="7"/>
      <c r="P132" s="7">
        <f t="shared" si="3"/>
        <v>10</v>
      </c>
      <c r="Q132" s="7">
        <v>5.0</v>
      </c>
      <c r="R132" s="7"/>
      <c r="S132" s="7">
        <f t="shared" si="4"/>
        <v>5</v>
      </c>
      <c r="T132" s="7">
        <v>5.0</v>
      </c>
      <c r="U132" s="7"/>
      <c r="V132" s="7">
        <f t="shared" si="5"/>
        <v>5</v>
      </c>
      <c r="W132" s="7">
        <v>5.0</v>
      </c>
      <c r="X132" s="7"/>
      <c r="Y132" s="7">
        <f t="shared" si="6"/>
        <v>5</v>
      </c>
      <c r="Z132" s="7">
        <v>5.0</v>
      </c>
      <c r="AA132" s="7"/>
      <c r="AB132" s="7">
        <f t="shared" si="7"/>
        <v>5</v>
      </c>
      <c r="AC132" s="7">
        <v>0.0</v>
      </c>
      <c r="AD132" s="7"/>
      <c r="AE132" s="7">
        <f t="shared" si="8"/>
        <v>0</v>
      </c>
      <c r="AF132" s="10"/>
      <c r="AG132" s="10"/>
      <c r="AH132" s="10"/>
      <c r="AI132" s="10"/>
    </row>
    <row r="133" ht="30.0" customHeight="1">
      <c r="A133" s="7">
        <v>131.0</v>
      </c>
      <c r="B133" s="7">
        <v>4.7241305E7</v>
      </c>
      <c r="C133" s="7">
        <v>24.0</v>
      </c>
      <c r="D133" s="7">
        <v>70.0</v>
      </c>
      <c r="E133" s="8" t="s">
        <v>265</v>
      </c>
      <c r="F133" s="9" t="s">
        <v>267</v>
      </c>
      <c r="G133" s="7" t="s">
        <v>27</v>
      </c>
      <c r="H133" s="7">
        <v>40.0</v>
      </c>
      <c r="I133" s="7">
        <v>6.0</v>
      </c>
      <c r="J133" s="7">
        <f t="shared" si="1"/>
        <v>40</v>
      </c>
      <c r="K133" s="7">
        <v>10.0</v>
      </c>
      <c r="L133" s="7"/>
      <c r="M133" s="7">
        <f t="shared" si="2"/>
        <v>10</v>
      </c>
      <c r="N133" s="7">
        <v>10.0</v>
      </c>
      <c r="O133" s="7"/>
      <c r="P133" s="7">
        <f t="shared" si="3"/>
        <v>10</v>
      </c>
      <c r="Q133" s="7">
        <v>5.0</v>
      </c>
      <c r="R133" s="7"/>
      <c r="S133" s="7">
        <f t="shared" si="4"/>
        <v>5</v>
      </c>
      <c r="T133" s="7">
        <v>5.0</v>
      </c>
      <c r="U133" s="7"/>
      <c r="V133" s="7">
        <f t="shared" si="5"/>
        <v>5</v>
      </c>
      <c r="W133" s="7">
        <v>5.0</v>
      </c>
      <c r="X133" s="7"/>
      <c r="Y133" s="7">
        <f t="shared" si="6"/>
        <v>5</v>
      </c>
      <c r="Z133" s="7">
        <v>5.0</v>
      </c>
      <c r="AA133" s="7"/>
      <c r="AB133" s="7">
        <f t="shared" si="7"/>
        <v>5</v>
      </c>
      <c r="AC133" s="7">
        <v>0.0</v>
      </c>
      <c r="AD133" s="7"/>
      <c r="AE133" s="7">
        <f t="shared" si="8"/>
        <v>0</v>
      </c>
      <c r="AF133" s="7">
        <v>30.0</v>
      </c>
      <c r="AG133" s="7">
        <v>35.0</v>
      </c>
      <c r="AH133" s="7">
        <v>74.0</v>
      </c>
      <c r="AI133" s="11">
        <v>0.0</v>
      </c>
    </row>
    <row r="134" ht="30.0" customHeight="1">
      <c r="A134" s="7">
        <v>132.0</v>
      </c>
      <c r="B134" s="7">
        <v>4.7241275E7</v>
      </c>
      <c r="C134" s="7">
        <v>24.0</v>
      </c>
      <c r="D134" s="7">
        <v>70.0</v>
      </c>
      <c r="E134" s="8" t="s">
        <v>268</v>
      </c>
      <c r="F134" s="9" t="s">
        <v>269</v>
      </c>
      <c r="G134" s="7" t="s">
        <v>27</v>
      </c>
      <c r="H134" s="7">
        <v>100.0</v>
      </c>
      <c r="I134" s="7">
        <v>167.0</v>
      </c>
      <c r="J134" s="7">
        <f t="shared" si="1"/>
        <v>100</v>
      </c>
      <c r="K134" s="7">
        <v>25.0</v>
      </c>
      <c r="L134" s="7"/>
      <c r="M134" s="7">
        <f t="shared" si="2"/>
        <v>25</v>
      </c>
      <c r="N134" s="7">
        <v>25.0</v>
      </c>
      <c r="O134" s="7"/>
      <c r="P134" s="7">
        <f t="shared" si="3"/>
        <v>25</v>
      </c>
      <c r="Q134" s="7">
        <v>20.0</v>
      </c>
      <c r="R134" s="7"/>
      <c r="S134" s="7">
        <f t="shared" si="4"/>
        <v>20</v>
      </c>
      <c r="T134" s="7">
        <v>10.0</v>
      </c>
      <c r="U134" s="7"/>
      <c r="V134" s="7">
        <f t="shared" si="5"/>
        <v>10</v>
      </c>
      <c r="W134" s="7">
        <v>10.0</v>
      </c>
      <c r="X134" s="7"/>
      <c r="Y134" s="7">
        <f t="shared" si="6"/>
        <v>10</v>
      </c>
      <c r="Z134" s="7">
        <v>10.0</v>
      </c>
      <c r="AA134" s="7"/>
      <c r="AB134" s="7">
        <f t="shared" si="7"/>
        <v>10</v>
      </c>
      <c r="AC134" s="7">
        <v>0.0</v>
      </c>
      <c r="AD134" s="7"/>
      <c r="AE134" s="7">
        <f t="shared" si="8"/>
        <v>0</v>
      </c>
      <c r="AF134" s="10"/>
      <c r="AG134" s="10"/>
      <c r="AH134" s="10"/>
      <c r="AI134" s="10"/>
    </row>
    <row r="135" ht="30.0" customHeight="1">
      <c r="A135" s="7">
        <v>133.0</v>
      </c>
      <c r="B135" s="7">
        <v>4.724138E7</v>
      </c>
      <c r="C135" s="7">
        <v>24.0</v>
      </c>
      <c r="D135" s="7">
        <v>70.0</v>
      </c>
      <c r="E135" s="8" t="s">
        <v>270</v>
      </c>
      <c r="F135" s="9" t="s">
        <v>271</v>
      </c>
      <c r="G135" s="7" t="s">
        <v>27</v>
      </c>
      <c r="H135" s="7">
        <v>20.0</v>
      </c>
      <c r="I135" s="7">
        <v>10.0</v>
      </c>
      <c r="J135" s="7">
        <f t="shared" si="1"/>
        <v>20</v>
      </c>
      <c r="K135" s="7">
        <v>20.0</v>
      </c>
      <c r="L135" s="7"/>
      <c r="M135" s="7">
        <f t="shared" si="2"/>
        <v>20</v>
      </c>
      <c r="N135" s="7">
        <v>0.0</v>
      </c>
      <c r="O135" s="7"/>
      <c r="P135" s="7">
        <f t="shared" si="3"/>
        <v>0</v>
      </c>
      <c r="Q135" s="7">
        <v>0.0</v>
      </c>
      <c r="R135" s="7"/>
      <c r="S135" s="7">
        <f t="shared" si="4"/>
        <v>0</v>
      </c>
      <c r="T135" s="7">
        <v>0.0</v>
      </c>
      <c r="U135" s="7"/>
      <c r="V135" s="7">
        <f t="shared" si="5"/>
        <v>0</v>
      </c>
      <c r="W135" s="7">
        <v>0.0</v>
      </c>
      <c r="X135" s="7"/>
      <c r="Y135" s="7">
        <f t="shared" si="6"/>
        <v>0</v>
      </c>
      <c r="Z135" s="7">
        <v>0.0</v>
      </c>
      <c r="AA135" s="7"/>
      <c r="AB135" s="7">
        <f t="shared" si="7"/>
        <v>0</v>
      </c>
      <c r="AC135" s="7">
        <v>0.0</v>
      </c>
      <c r="AD135" s="7"/>
      <c r="AE135" s="7">
        <f t="shared" si="8"/>
        <v>0</v>
      </c>
      <c r="AF135" s="10"/>
      <c r="AG135" s="10"/>
      <c r="AH135" s="10"/>
      <c r="AI135" s="10"/>
    </row>
    <row r="136" ht="30.0" customHeight="1">
      <c r="A136" s="7">
        <v>134.0</v>
      </c>
      <c r="B136" s="7">
        <v>4.2027329E7</v>
      </c>
      <c r="C136" s="7">
        <v>24.0</v>
      </c>
      <c r="D136" s="7">
        <v>70.0</v>
      </c>
      <c r="E136" s="8" t="s">
        <v>272</v>
      </c>
      <c r="F136" s="9" t="s">
        <v>273</v>
      </c>
      <c r="G136" s="7" t="s">
        <v>27</v>
      </c>
      <c r="H136" s="7">
        <v>25.0</v>
      </c>
      <c r="I136" s="7">
        <v>9.0</v>
      </c>
      <c r="J136" s="7">
        <f t="shared" si="1"/>
        <v>24</v>
      </c>
      <c r="K136" s="7">
        <v>6.0</v>
      </c>
      <c r="L136" s="7"/>
      <c r="M136" s="7">
        <f t="shared" si="2"/>
        <v>6</v>
      </c>
      <c r="N136" s="7">
        <v>6.0</v>
      </c>
      <c r="O136" s="7"/>
      <c r="P136" s="7">
        <f t="shared" si="3"/>
        <v>6</v>
      </c>
      <c r="Q136" s="7">
        <v>6.0</v>
      </c>
      <c r="R136" s="7"/>
      <c r="S136" s="7">
        <f t="shared" si="4"/>
        <v>6</v>
      </c>
      <c r="T136" s="7">
        <v>2.0</v>
      </c>
      <c r="U136" s="7"/>
      <c r="V136" s="7">
        <f t="shared" si="5"/>
        <v>2</v>
      </c>
      <c r="W136" s="7">
        <v>2.0</v>
      </c>
      <c r="X136" s="7"/>
      <c r="Y136" s="7">
        <f t="shared" si="6"/>
        <v>2</v>
      </c>
      <c r="Z136" s="7">
        <v>2.0</v>
      </c>
      <c r="AA136" s="7"/>
      <c r="AB136" s="7">
        <f t="shared" si="7"/>
        <v>2</v>
      </c>
      <c r="AC136" s="7">
        <v>0.0</v>
      </c>
      <c r="AD136" s="7"/>
      <c r="AE136" s="7">
        <f t="shared" si="8"/>
        <v>0</v>
      </c>
      <c r="AF136" s="10"/>
      <c r="AG136" s="10"/>
      <c r="AH136" s="10"/>
      <c r="AI136" s="10"/>
    </row>
    <row r="137" ht="30.0" customHeight="1">
      <c r="A137" s="7">
        <v>135.0</v>
      </c>
      <c r="B137" s="7">
        <v>4.7241329E7</v>
      </c>
      <c r="C137" s="7">
        <v>24.0</v>
      </c>
      <c r="D137" s="7">
        <v>10.0</v>
      </c>
      <c r="E137" s="8" t="s">
        <v>274</v>
      </c>
      <c r="F137" s="9" t="s">
        <v>275</v>
      </c>
      <c r="G137" s="7" t="s">
        <v>27</v>
      </c>
      <c r="H137" s="7">
        <v>30.0</v>
      </c>
      <c r="I137" s="7">
        <v>55.0</v>
      </c>
      <c r="J137" s="7">
        <f t="shared" si="1"/>
        <v>30</v>
      </c>
      <c r="K137" s="7">
        <v>5.0</v>
      </c>
      <c r="L137" s="7"/>
      <c r="M137" s="7">
        <f t="shared" si="2"/>
        <v>5</v>
      </c>
      <c r="N137" s="7">
        <v>5.0</v>
      </c>
      <c r="O137" s="7"/>
      <c r="P137" s="7">
        <f t="shared" si="3"/>
        <v>5</v>
      </c>
      <c r="Q137" s="7">
        <v>5.0</v>
      </c>
      <c r="R137" s="7"/>
      <c r="S137" s="7">
        <f t="shared" si="4"/>
        <v>5</v>
      </c>
      <c r="T137" s="7">
        <v>5.0</v>
      </c>
      <c r="U137" s="7"/>
      <c r="V137" s="7">
        <f t="shared" si="5"/>
        <v>5</v>
      </c>
      <c r="W137" s="7">
        <v>5.0</v>
      </c>
      <c r="X137" s="7"/>
      <c r="Y137" s="7">
        <f t="shared" si="6"/>
        <v>5</v>
      </c>
      <c r="Z137" s="7">
        <v>5.0</v>
      </c>
      <c r="AA137" s="7"/>
      <c r="AB137" s="7">
        <f t="shared" si="7"/>
        <v>5</v>
      </c>
      <c r="AC137" s="7">
        <v>0.0</v>
      </c>
      <c r="AD137" s="7"/>
      <c r="AE137" s="7">
        <f t="shared" si="8"/>
        <v>0</v>
      </c>
      <c r="AF137" s="10"/>
      <c r="AG137" s="10"/>
      <c r="AH137" s="10"/>
      <c r="AI137" s="10"/>
    </row>
    <row r="138" ht="30.0" customHeight="1">
      <c r="A138" s="7">
        <v>136.0</v>
      </c>
      <c r="B138" s="7">
        <v>4.3900288E7</v>
      </c>
      <c r="C138" s="7">
        <v>24.0</v>
      </c>
      <c r="D138" s="7">
        <v>70.0</v>
      </c>
      <c r="E138" s="8" t="s">
        <v>276</v>
      </c>
      <c r="F138" s="9" t="s">
        <v>277</v>
      </c>
      <c r="G138" s="7" t="s">
        <v>27</v>
      </c>
      <c r="H138" s="7">
        <v>50.0</v>
      </c>
      <c r="I138" s="7">
        <v>3.0</v>
      </c>
      <c r="J138" s="7">
        <f t="shared" si="1"/>
        <v>45</v>
      </c>
      <c r="K138" s="7">
        <v>10.0</v>
      </c>
      <c r="L138" s="7"/>
      <c r="M138" s="7">
        <f t="shared" si="2"/>
        <v>10</v>
      </c>
      <c r="N138" s="7">
        <v>10.0</v>
      </c>
      <c r="O138" s="7"/>
      <c r="P138" s="7">
        <f t="shared" si="3"/>
        <v>10</v>
      </c>
      <c r="Q138" s="7">
        <v>10.0</v>
      </c>
      <c r="R138" s="7"/>
      <c r="S138" s="7">
        <f t="shared" si="4"/>
        <v>10</v>
      </c>
      <c r="T138" s="7">
        <v>5.0</v>
      </c>
      <c r="U138" s="7"/>
      <c r="V138" s="7">
        <f t="shared" si="5"/>
        <v>5</v>
      </c>
      <c r="W138" s="7">
        <v>5.0</v>
      </c>
      <c r="X138" s="7"/>
      <c r="Y138" s="7">
        <f t="shared" si="6"/>
        <v>5</v>
      </c>
      <c r="Z138" s="7">
        <v>5.0</v>
      </c>
      <c r="AA138" s="7"/>
      <c r="AB138" s="7">
        <f t="shared" si="7"/>
        <v>5</v>
      </c>
      <c r="AC138" s="7">
        <v>0.0</v>
      </c>
      <c r="AD138" s="7"/>
      <c r="AE138" s="7">
        <f t="shared" si="8"/>
        <v>0</v>
      </c>
      <c r="AF138" s="7">
        <v>25.0</v>
      </c>
      <c r="AG138" s="7">
        <v>35.0</v>
      </c>
      <c r="AH138" s="7">
        <v>102.0</v>
      </c>
      <c r="AI138" s="11">
        <v>0.0</v>
      </c>
    </row>
    <row r="139" ht="30.0" customHeight="1">
      <c r="A139" s="7">
        <v>137.0</v>
      </c>
      <c r="B139" s="7">
        <v>4.7241512E7</v>
      </c>
      <c r="C139" s="7">
        <v>24.0</v>
      </c>
      <c r="D139" s="7">
        <v>70.0</v>
      </c>
      <c r="E139" s="8" t="s">
        <v>278</v>
      </c>
      <c r="F139" s="9" t="s">
        <v>279</v>
      </c>
      <c r="G139" s="7" t="s">
        <v>27</v>
      </c>
      <c r="H139" s="7">
        <v>50.0</v>
      </c>
      <c r="I139" s="7">
        <v>56.0</v>
      </c>
      <c r="J139" s="7">
        <f t="shared" si="1"/>
        <v>45</v>
      </c>
      <c r="K139" s="7">
        <v>10.0</v>
      </c>
      <c r="L139" s="7"/>
      <c r="M139" s="7">
        <f t="shared" si="2"/>
        <v>10</v>
      </c>
      <c r="N139" s="7">
        <v>10.0</v>
      </c>
      <c r="O139" s="7"/>
      <c r="P139" s="7">
        <f t="shared" si="3"/>
        <v>10</v>
      </c>
      <c r="Q139" s="7">
        <v>10.0</v>
      </c>
      <c r="R139" s="7"/>
      <c r="S139" s="7">
        <f t="shared" si="4"/>
        <v>10</v>
      </c>
      <c r="T139" s="7">
        <v>5.0</v>
      </c>
      <c r="U139" s="7"/>
      <c r="V139" s="7">
        <f t="shared" si="5"/>
        <v>5</v>
      </c>
      <c r="W139" s="7">
        <v>5.0</v>
      </c>
      <c r="X139" s="7"/>
      <c r="Y139" s="7">
        <f t="shared" si="6"/>
        <v>5</v>
      </c>
      <c r="Z139" s="7">
        <v>5.0</v>
      </c>
      <c r="AA139" s="7"/>
      <c r="AB139" s="7">
        <f t="shared" si="7"/>
        <v>5</v>
      </c>
      <c r="AC139" s="7">
        <v>0.0</v>
      </c>
      <c r="AD139" s="7"/>
      <c r="AE139" s="7">
        <f t="shared" si="8"/>
        <v>0</v>
      </c>
      <c r="AF139" s="10"/>
      <c r="AG139" s="10"/>
      <c r="AH139" s="10"/>
      <c r="AI139" s="10"/>
    </row>
    <row r="140" ht="30.0" customHeight="1">
      <c r="A140" s="7">
        <v>138.0</v>
      </c>
      <c r="B140" s="7">
        <v>4.7241317E7</v>
      </c>
      <c r="C140" s="7">
        <v>24.0</v>
      </c>
      <c r="D140" s="7">
        <v>10.0</v>
      </c>
      <c r="E140" s="8" t="s">
        <v>280</v>
      </c>
      <c r="F140" s="9" t="s">
        <v>281</v>
      </c>
      <c r="G140" s="7" t="s">
        <v>27</v>
      </c>
      <c r="H140" s="7">
        <v>50.0</v>
      </c>
      <c r="I140" s="7">
        <v>163.0</v>
      </c>
      <c r="J140" s="7">
        <f t="shared" si="1"/>
        <v>49</v>
      </c>
      <c r="K140" s="7">
        <v>20.0</v>
      </c>
      <c r="L140" s="7"/>
      <c r="M140" s="7">
        <f t="shared" si="2"/>
        <v>20</v>
      </c>
      <c r="N140" s="7">
        <v>0.0</v>
      </c>
      <c r="O140" s="7"/>
      <c r="P140" s="7">
        <f t="shared" si="3"/>
        <v>0</v>
      </c>
      <c r="Q140" s="7">
        <v>14.0</v>
      </c>
      <c r="R140" s="7"/>
      <c r="S140" s="7">
        <f t="shared" si="4"/>
        <v>14</v>
      </c>
      <c r="T140" s="7">
        <v>5.0</v>
      </c>
      <c r="U140" s="7"/>
      <c r="V140" s="7">
        <f t="shared" si="5"/>
        <v>5</v>
      </c>
      <c r="W140" s="7">
        <v>5.0</v>
      </c>
      <c r="X140" s="7"/>
      <c r="Y140" s="7">
        <f t="shared" si="6"/>
        <v>5</v>
      </c>
      <c r="Z140" s="7">
        <v>5.0</v>
      </c>
      <c r="AA140" s="7"/>
      <c r="AB140" s="7">
        <f t="shared" si="7"/>
        <v>5</v>
      </c>
      <c r="AC140" s="7">
        <v>0.0</v>
      </c>
      <c r="AD140" s="7"/>
      <c r="AE140" s="7">
        <f t="shared" si="8"/>
        <v>0</v>
      </c>
      <c r="AF140" s="10"/>
      <c r="AG140" s="10"/>
      <c r="AH140" s="10"/>
      <c r="AI140" s="10"/>
    </row>
    <row r="141" ht="30.0" customHeight="1">
      <c r="A141" s="7">
        <v>139.0</v>
      </c>
      <c r="B141" s="7">
        <v>4.7241299E7</v>
      </c>
      <c r="C141" s="7">
        <v>24.0</v>
      </c>
      <c r="D141" s="7">
        <v>10.0</v>
      </c>
      <c r="E141" s="8" t="s">
        <v>282</v>
      </c>
      <c r="F141" s="9" t="s">
        <v>283</v>
      </c>
      <c r="G141" s="7" t="s">
        <v>27</v>
      </c>
      <c r="H141" s="7">
        <v>50.0</v>
      </c>
      <c r="I141" s="7">
        <v>110.0</v>
      </c>
      <c r="J141" s="7">
        <f t="shared" si="1"/>
        <v>45</v>
      </c>
      <c r="K141" s="7">
        <v>10.0</v>
      </c>
      <c r="L141" s="7"/>
      <c r="M141" s="7">
        <f t="shared" si="2"/>
        <v>10</v>
      </c>
      <c r="N141" s="7">
        <v>10.0</v>
      </c>
      <c r="O141" s="7"/>
      <c r="P141" s="7">
        <f t="shared" si="3"/>
        <v>10</v>
      </c>
      <c r="Q141" s="7">
        <v>10.0</v>
      </c>
      <c r="R141" s="7"/>
      <c r="S141" s="7">
        <f t="shared" si="4"/>
        <v>10</v>
      </c>
      <c r="T141" s="7">
        <v>5.0</v>
      </c>
      <c r="U141" s="7"/>
      <c r="V141" s="7">
        <f t="shared" si="5"/>
        <v>5</v>
      </c>
      <c r="W141" s="7">
        <v>5.0</v>
      </c>
      <c r="X141" s="7"/>
      <c r="Y141" s="7">
        <f t="shared" si="6"/>
        <v>5</v>
      </c>
      <c r="Z141" s="7">
        <v>5.0</v>
      </c>
      <c r="AA141" s="7"/>
      <c r="AB141" s="7">
        <f t="shared" si="7"/>
        <v>5</v>
      </c>
      <c r="AC141" s="7">
        <v>0.0</v>
      </c>
      <c r="AD141" s="7"/>
      <c r="AE141" s="7">
        <f t="shared" si="8"/>
        <v>0</v>
      </c>
      <c r="AF141" s="10"/>
      <c r="AG141" s="10"/>
      <c r="AH141" s="10"/>
      <c r="AI141" s="10"/>
    </row>
    <row r="142" ht="30.0" customHeight="1">
      <c r="A142" s="7">
        <v>140.0</v>
      </c>
      <c r="B142" s="7">
        <v>4.724155E7</v>
      </c>
      <c r="C142" s="7">
        <v>24.0</v>
      </c>
      <c r="D142" s="7">
        <v>70.0</v>
      </c>
      <c r="E142" s="8" t="s">
        <v>284</v>
      </c>
      <c r="F142" s="9" t="s">
        <v>285</v>
      </c>
      <c r="G142" s="7" t="s">
        <v>27</v>
      </c>
      <c r="H142" s="7">
        <v>10.0</v>
      </c>
      <c r="I142" s="7">
        <v>23.0</v>
      </c>
      <c r="J142" s="7">
        <f t="shared" si="1"/>
        <v>9</v>
      </c>
      <c r="K142" s="7">
        <v>2.0</v>
      </c>
      <c r="L142" s="7"/>
      <c r="M142" s="7">
        <f t="shared" si="2"/>
        <v>2</v>
      </c>
      <c r="N142" s="7">
        <v>2.0</v>
      </c>
      <c r="O142" s="7"/>
      <c r="P142" s="7">
        <f t="shared" si="3"/>
        <v>2</v>
      </c>
      <c r="Q142" s="7">
        <v>2.0</v>
      </c>
      <c r="R142" s="7"/>
      <c r="S142" s="7">
        <f t="shared" si="4"/>
        <v>2</v>
      </c>
      <c r="T142" s="7">
        <v>1.0</v>
      </c>
      <c r="U142" s="7"/>
      <c r="V142" s="7">
        <f t="shared" si="5"/>
        <v>1</v>
      </c>
      <c r="W142" s="7">
        <v>1.0</v>
      </c>
      <c r="X142" s="7"/>
      <c r="Y142" s="7">
        <f t="shared" si="6"/>
        <v>1</v>
      </c>
      <c r="Z142" s="7">
        <v>1.0</v>
      </c>
      <c r="AA142" s="7"/>
      <c r="AB142" s="7">
        <f t="shared" si="7"/>
        <v>1</v>
      </c>
      <c r="AC142" s="7">
        <v>0.0</v>
      </c>
      <c r="AD142" s="7"/>
      <c r="AE142" s="7">
        <f t="shared" si="8"/>
        <v>0</v>
      </c>
      <c r="AF142" s="10"/>
      <c r="AG142" s="10"/>
      <c r="AH142" s="10"/>
      <c r="AI142" s="10"/>
    </row>
    <row r="143" ht="30.0" customHeight="1">
      <c r="A143" s="7">
        <v>141.0</v>
      </c>
      <c r="B143" s="7">
        <v>4.724147E7</v>
      </c>
      <c r="C143" s="7">
        <v>24.0</v>
      </c>
      <c r="D143" s="7">
        <v>10.0</v>
      </c>
      <c r="E143" s="8" t="s">
        <v>286</v>
      </c>
      <c r="F143" s="9" t="s">
        <v>287</v>
      </c>
      <c r="G143" s="7" t="s">
        <v>27</v>
      </c>
      <c r="H143" s="7">
        <v>15.0</v>
      </c>
      <c r="I143" s="7">
        <v>10.0</v>
      </c>
      <c r="J143" s="7">
        <f t="shared" si="1"/>
        <v>15</v>
      </c>
      <c r="K143" s="7">
        <v>4.0</v>
      </c>
      <c r="L143" s="7"/>
      <c r="M143" s="7">
        <f t="shared" si="2"/>
        <v>4</v>
      </c>
      <c r="N143" s="7">
        <v>0.0</v>
      </c>
      <c r="O143" s="7"/>
      <c r="P143" s="7">
        <f t="shared" si="3"/>
        <v>0</v>
      </c>
      <c r="Q143" s="7">
        <v>4.0</v>
      </c>
      <c r="R143" s="7"/>
      <c r="S143" s="7">
        <f t="shared" si="4"/>
        <v>4</v>
      </c>
      <c r="T143" s="7">
        <v>2.0</v>
      </c>
      <c r="U143" s="7"/>
      <c r="V143" s="7">
        <f t="shared" si="5"/>
        <v>2</v>
      </c>
      <c r="W143" s="7">
        <v>2.0</v>
      </c>
      <c r="X143" s="7"/>
      <c r="Y143" s="7">
        <f t="shared" si="6"/>
        <v>2</v>
      </c>
      <c r="Z143" s="7">
        <v>3.0</v>
      </c>
      <c r="AA143" s="7"/>
      <c r="AB143" s="7">
        <f t="shared" si="7"/>
        <v>3</v>
      </c>
      <c r="AC143" s="7">
        <v>0.0</v>
      </c>
      <c r="AD143" s="7"/>
      <c r="AE143" s="7">
        <f t="shared" si="8"/>
        <v>0</v>
      </c>
      <c r="AF143" s="10"/>
      <c r="AG143" s="10"/>
      <c r="AH143" s="10"/>
      <c r="AI143" s="10"/>
    </row>
    <row r="144" ht="30.0" customHeight="1">
      <c r="A144" s="7">
        <v>142.0</v>
      </c>
      <c r="B144" s="7">
        <v>4.7241561E7</v>
      </c>
      <c r="C144" s="7">
        <v>24.0</v>
      </c>
      <c r="D144" s="7">
        <v>70.0</v>
      </c>
      <c r="E144" s="8" t="s">
        <v>288</v>
      </c>
      <c r="F144" s="9" t="s">
        <v>289</v>
      </c>
      <c r="G144" s="7" t="s">
        <v>27</v>
      </c>
      <c r="H144" s="7">
        <v>10.0</v>
      </c>
      <c r="I144" s="7">
        <v>20.0</v>
      </c>
      <c r="J144" s="7">
        <f t="shared" si="1"/>
        <v>10</v>
      </c>
      <c r="K144" s="7">
        <v>2.0</v>
      </c>
      <c r="L144" s="7"/>
      <c r="M144" s="7">
        <f t="shared" si="2"/>
        <v>2</v>
      </c>
      <c r="N144" s="7">
        <v>2.0</v>
      </c>
      <c r="O144" s="7"/>
      <c r="P144" s="7">
        <f t="shared" si="3"/>
        <v>2</v>
      </c>
      <c r="Q144" s="7">
        <v>2.0</v>
      </c>
      <c r="R144" s="7"/>
      <c r="S144" s="7">
        <f t="shared" si="4"/>
        <v>2</v>
      </c>
      <c r="T144" s="7">
        <v>1.0</v>
      </c>
      <c r="U144" s="7"/>
      <c r="V144" s="7">
        <f t="shared" si="5"/>
        <v>1</v>
      </c>
      <c r="W144" s="7">
        <v>1.0</v>
      </c>
      <c r="X144" s="7"/>
      <c r="Y144" s="7">
        <f t="shared" si="6"/>
        <v>1</v>
      </c>
      <c r="Z144" s="7">
        <v>2.0</v>
      </c>
      <c r="AA144" s="7"/>
      <c r="AB144" s="7">
        <f t="shared" si="7"/>
        <v>2</v>
      </c>
      <c r="AC144" s="7">
        <v>0.0</v>
      </c>
      <c r="AD144" s="7"/>
      <c r="AE144" s="7">
        <f t="shared" si="8"/>
        <v>0</v>
      </c>
      <c r="AF144" s="10"/>
      <c r="AG144" s="10"/>
      <c r="AH144" s="10"/>
      <c r="AI144" s="10"/>
    </row>
    <row r="145" ht="30.0" customHeight="1">
      <c r="A145" s="7">
        <v>143.0</v>
      </c>
      <c r="B145" s="7">
        <v>4.3100119E7</v>
      </c>
      <c r="C145" s="7">
        <v>24.0</v>
      </c>
      <c r="D145" s="7">
        <v>70.0</v>
      </c>
      <c r="E145" s="8" t="s">
        <v>290</v>
      </c>
      <c r="F145" s="9" t="s">
        <v>291</v>
      </c>
      <c r="G145" s="7" t="s">
        <v>27</v>
      </c>
      <c r="H145" s="7">
        <v>8.0</v>
      </c>
      <c r="I145" s="7">
        <v>5.0</v>
      </c>
      <c r="J145" s="7">
        <f t="shared" si="1"/>
        <v>8</v>
      </c>
      <c r="K145" s="7">
        <v>2.0</v>
      </c>
      <c r="L145" s="7"/>
      <c r="M145" s="7">
        <f t="shared" si="2"/>
        <v>2</v>
      </c>
      <c r="N145" s="7">
        <v>2.0</v>
      </c>
      <c r="O145" s="7"/>
      <c r="P145" s="7">
        <f t="shared" si="3"/>
        <v>2</v>
      </c>
      <c r="Q145" s="7">
        <v>2.0</v>
      </c>
      <c r="R145" s="7"/>
      <c r="S145" s="7">
        <f t="shared" si="4"/>
        <v>2</v>
      </c>
      <c r="T145" s="7">
        <v>1.0</v>
      </c>
      <c r="U145" s="7"/>
      <c r="V145" s="7">
        <f t="shared" si="5"/>
        <v>1</v>
      </c>
      <c r="W145" s="7">
        <v>1.0</v>
      </c>
      <c r="X145" s="7"/>
      <c r="Y145" s="7">
        <f t="shared" si="6"/>
        <v>1</v>
      </c>
      <c r="Z145" s="7">
        <v>0.0</v>
      </c>
      <c r="AA145" s="7"/>
      <c r="AB145" s="7">
        <f t="shared" si="7"/>
        <v>0</v>
      </c>
      <c r="AC145" s="7">
        <v>0.0</v>
      </c>
      <c r="AD145" s="7"/>
      <c r="AE145" s="7">
        <f t="shared" si="8"/>
        <v>0</v>
      </c>
      <c r="AF145" s="7">
        <v>10.0</v>
      </c>
      <c r="AG145" s="7">
        <v>10.0</v>
      </c>
      <c r="AH145" s="7">
        <v>5.0</v>
      </c>
      <c r="AI145" s="11">
        <v>0.0</v>
      </c>
    </row>
    <row r="146" ht="30.0" customHeight="1">
      <c r="A146" s="7">
        <v>144.0</v>
      </c>
      <c r="B146" s="7">
        <v>4.6150018E7</v>
      </c>
      <c r="C146" s="7">
        <v>24.0</v>
      </c>
      <c r="D146" s="7">
        <v>70.0</v>
      </c>
      <c r="E146" s="8" t="s">
        <v>292</v>
      </c>
      <c r="F146" s="9" t="s">
        <v>293</v>
      </c>
      <c r="G146" s="7" t="s">
        <v>27</v>
      </c>
      <c r="H146" s="7">
        <v>10.0</v>
      </c>
      <c r="I146" s="11">
        <v>0.0</v>
      </c>
      <c r="J146" s="7">
        <f t="shared" si="1"/>
        <v>9</v>
      </c>
      <c r="K146" s="7">
        <v>2.0</v>
      </c>
      <c r="L146" s="7"/>
      <c r="M146" s="7">
        <f t="shared" si="2"/>
        <v>2</v>
      </c>
      <c r="N146" s="7">
        <v>2.0</v>
      </c>
      <c r="O146" s="7"/>
      <c r="P146" s="7">
        <f t="shared" si="3"/>
        <v>2</v>
      </c>
      <c r="Q146" s="7">
        <v>2.0</v>
      </c>
      <c r="R146" s="7"/>
      <c r="S146" s="7">
        <f t="shared" si="4"/>
        <v>2</v>
      </c>
      <c r="T146" s="7">
        <v>1.0</v>
      </c>
      <c r="U146" s="7"/>
      <c r="V146" s="7">
        <f t="shared" si="5"/>
        <v>1</v>
      </c>
      <c r="W146" s="7">
        <v>1.0</v>
      </c>
      <c r="X146" s="7"/>
      <c r="Y146" s="7">
        <f t="shared" si="6"/>
        <v>1</v>
      </c>
      <c r="Z146" s="7">
        <v>1.0</v>
      </c>
      <c r="AA146" s="7"/>
      <c r="AB146" s="7">
        <f t="shared" si="7"/>
        <v>1</v>
      </c>
      <c r="AC146" s="7">
        <v>0.0</v>
      </c>
      <c r="AD146" s="7"/>
      <c r="AE146" s="7">
        <f t="shared" si="8"/>
        <v>0</v>
      </c>
      <c r="AF146" s="10"/>
      <c r="AG146" s="10"/>
      <c r="AH146" s="10"/>
      <c r="AI146" s="10"/>
    </row>
    <row r="147" ht="30.0" customHeight="1">
      <c r="A147" s="7">
        <v>145.0</v>
      </c>
      <c r="B147" s="7">
        <v>4.615002E7</v>
      </c>
      <c r="C147" s="7">
        <v>24.0</v>
      </c>
      <c r="D147" s="7">
        <v>70.0</v>
      </c>
      <c r="E147" s="8" t="s">
        <v>294</v>
      </c>
      <c r="F147" s="9" t="s">
        <v>295</v>
      </c>
      <c r="G147" s="7" t="s">
        <v>27</v>
      </c>
      <c r="H147" s="7">
        <v>6.0</v>
      </c>
      <c r="I147" s="7">
        <v>2.0</v>
      </c>
      <c r="J147" s="7">
        <f t="shared" si="1"/>
        <v>6</v>
      </c>
      <c r="K147" s="7">
        <v>2.0</v>
      </c>
      <c r="L147" s="7"/>
      <c r="M147" s="7">
        <f t="shared" si="2"/>
        <v>2</v>
      </c>
      <c r="N147" s="7">
        <v>2.0</v>
      </c>
      <c r="O147" s="7"/>
      <c r="P147" s="7">
        <f t="shared" si="3"/>
        <v>2</v>
      </c>
      <c r="Q147" s="7">
        <v>2.0</v>
      </c>
      <c r="R147" s="7"/>
      <c r="S147" s="7">
        <f t="shared" si="4"/>
        <v>2</v>
      </c>
      <c r="T147" s="7">
        <v>0.0</v>
      </c>
      <c r="U147" s="7"/>
      <c r="V147" s="7">
        <f t="shared" si="5"/>
        <v>0</v>
      </c>
      <c r="W147" s="7">
        <v>0.0</v>
      </c>
      <c r="X147" s="7"/>
      <c r="Y147" s="7">
        <f t="shared" si="6"/>
        <v>0</v>
      </c>
      <c r="Z147" s="7">
        <v>0.0</v>
      </c>
      <c r="AA147" s="7"/>
      <c r="AB147" s="7">
        <f t="shared" si="7"/>
        <v>0</v>
      </c>
      <c r="AC147" s="7">
        <v>0.0</v>
      </c>
      <c r="AD147" s="7"/>
      <c r="AE147" s="7">
        <f t="shared" si="8"/>
        <v>0</v>
      </c>
      <c r="AF147" s="10"/>
      <c r="AG147" s="10"/>
      <c r="AH147" s="10"/>
      <c r="AI147" s="10"/>
    </row>
    <row r="148" ht="30.0" customHeight="1">
      <c r="A148" s="7">
        <v>146.0</v>
      </c>
      <c r="B148" s="7">
        <v>4.2029387E7</v>
      </c>
      <c r="C148" s="7">
        <v>23.0</v>
      </c>
      <c r="D148" s="7">
        <v>10.0</v>
      </c>
      <c r="E148" s="8" t="s">
        <v>296</v>
      </c>
      <c r="F148" s="9" t="s">
        <v>297</v>
      </c>
      <c r="G148" s="7" t="s">
        <v>27</v>
      </c>
      <c r="H148" s="7">
        <v>18.0</v>
      </c>
      <c r="I148" s="7">
        <v>3.0</v>
      </c>
      <c r="J148" s="7">
        <f t="shared" si="1"/>
        <v>18</v>
      </c>
      <c r="K148" s="7">
        <v>6.0</v>
      </c>
      <c r="L148" s="7"/>
      <c r="M148" s="7">
        <f t="shared" si="2"/>
        <v>6</v>
      </c>
      <c r="N148" s="7">
        <v>6.0</v>
      </c>
      <c r="O148" s="7"/>
      <c r="P148" s="7">
        <f t="shared" si="3"/>
        <v>6</v>
      </c>
      <c r="Q148" s="7">
        <v>6.0</v>
      </c>
      <c r="R148" s="7"/>
      <c r="S148" s="7">
        <f t="shared" si="4"/>
        <v>6</v>
      </c>
      <c r="T148" s="7">
        <v>0.0</v>
      </c>
      <c r="U148" s="7"/>
      <c r="V148" s="7">
        <f t="shared" si="5"/>
        <v>0</v>
      </c>
      <c r="W148" s="7">
        <v>0.0</v>
      </c>
      <c r="X148" s="7"/>
      <c r="Y148" s="7">
        <f t="shared" si="6"/>
        <v>0</v>
      </c>
      <c r="Z148" s="7">
        <v>0.0</v>
      </c>
      <c r="AA148" s="7"/>
      <c r="AB148" s="7">
        <f t="shared" si="7"/>
        <v>0</v>
      </c>
      <c r="AC148" s="7">
        <v>0.0</v>
      </c>
      <c r="AD148" s="7"/>
      <c r="AE148" s="7">
        <f t="shared" si="8"/>
        <v>0</v>
      </c>
      <c r="AF148" s="10"/>
      <c r="AG148" s="10"/>
      <c r="AH148" s="10"/>
      <c r="AI148" s="10"/>
    </row>
    <row r="149" ht="30.0" customHeight="1">
      <c r="A149" s="7">
        <v>147.0</v>
      </c>
      <c r="B149" s="7">
        <v>4.202666E7</v>
      </c>
      <c r="C149" s="7">
        <v>23.0</v>
      </c>
      <c r="D149" s="7">
        <v>10.0</v>
      </c>
      <c r="E149" s="8" t="s">
        <v>298</v>
      </c>
      <c r="F149" s="9" t="s">
        <v>299</v>
      </c>
      <c r="G149" s="7" t="s">
        <v>27</v>
      </c>
      <c r="H149" s="7">
        <v>6.0</v>
      </c>
      <c r="I149" s="7">
        <v>4.0</v>
      </c>
      <c r="J149" s="7">
        <f t="shared" si="1"/>
        <v>6</v>
      </c>
      <c r="K149" s="7">
        <v>2.0</v>
      </c>
      <c r="L149" s="7"/>
      <c r="M149" s="7">
        <f t="shared" si="2"/>
        <v>2</v>
      </c>
      <c r="N149" s="7">
        <v>2.0</v>
      </c>
      <c r="O149" s="7"/>
      <c r="P149" s="7">
        <f t="shared" si="3"/>
        <v>2</v>
      </c>
      <c r="Q149" s="7">
        <v>2.0</v>
      </c>
      <c r="R149" s="7"/>
      <c r="S149" s="7">
        <f t="shared" si="4"/>
        <v>2</v>
      </c>
      <c r="T149" s="7">
        <v>0.0</v>
      </c>
      <c r="U149" s="7"/>
      <c r="V149" s="7">
        <f t="shared" si="5"/>
        <v>0</v>
      </c>
      <c r="W149" s="7">
        <v>0.0</v>
      </c>
      <c r="X149" s="7"/>
      <c r="Y149" s="7">
        <f t="shared" si="6"/>
        <v>0</v>
      </c>
      <c r="Z149" s="7">
        <v>0.0</v>
      </c>
      <c r="AA149" s="7"/>
      <c r="AB149" s="7">
        <f t="shared" si="7"/>
        <v>0</v>
      </c>
      <c r="AC149" s="7">
        <v>0.0</v>
      </c>
      <c r="AD149" s="7"/>
      <c r="AE149" s="7">
        <f t="shared" si="8"/>
        <v>0</v>
      </c>
      <c r="AF149" s="10"/>
      <c r="AG149" s="10"/>
      <c r="AH149" s="10"/>
      <c r="AI149" s="10"/>
    </row>
    <row r="150" ht="30.0" customHeight="1">
      <c r="A150" s="7">
        <v>148.0</v>
      </c>
      <c r="B150" s="7">
        <v>4.2022204E7</v>
      </c>
      <c r="C150" s="7">
        <v>24.0</v>
      </c>
      <c r="D150" s="7">
        <v>70.0</v>
      </c>
      <c r="E150" s="8" t="s">
        <v>300</v>
      </c>
      <c r="F150" s="9" t="s">
        <v>301</v>
      </c>
      <c r="G150" s="7" t="s">
        <v>27</v>
      </c>
      <c r="H150" s="7">
        <v>4.0</v>
      </c>
      <c r="I150" s="7">
        <v>7.0</v>
      </c>
      <c r="J150" s="7">
        <f t="shared" si="1"/>
        <v>4</v>
      </c>
      <c r="K150" s="7">
        <v>2.0</v>
      </c>
      <c r="L150" s="7"/>
      <c r="M150" s="7">
        <f t="shared" si="2"/>
        <v>2</v>
      </c>
      <c r="N150" s="7">
        <v>2.0</v>
      </c>
      <c r="O150" s="7"/>
      <c r="P150" s="7">
        <f t="shared" si="3"/>
        <v>2</v>
      </c>
      <c r="Q150" s="7">
        <v>0.0</v>
      </c>
      <c r="R150" s="7"/>
      <c r="S150" s="7">
        <f t="shared" si="4"/>
        <v>0</v>
      </c>
      <c r="T150" s="7">
        <v>0.0</v>
      </c>
      <c r="U150" s="7"/>
      <c r="V150" s="7">
        <f t="shared" si="5"/>
        <v>0</v>
      </c>
      <c r="W150" s="7">
        <v>0.0</v>
      </c>
      <c r="X150" s="7"/>
      <c r="Y150" s="7">
        <f t="shared" si="6"/>
        <v>0</v>
      </c>
      <c r="Z150" s="7">
        <v>0.0</v>
      </c>
      <c r="AA150" s="7"/>
      <c r="AB150" s="7">
        <f t="shared" si="7"/>
        <v>0</v>
      </c>
      <c r="AC150" s="7">
        <v>0.0</v>
      </c>
      <c r="AD150" s="7"/>
      <c r="AE150" s="7">
        <f t="shared" si="8"/>
        <v>0</v>
      </c>
      <c r="AF150" s="10"/>
      <c r="AG150" s="10"/>
      <c r="AH150" s="10"/>
      <c r="AI150" s="10"/>
    </row>
    <row r="151" ht="30.0" customHeight="1">
      <c r="A151" s="7">
        <v>149.0</v>
      </c>
      <c r="B151" s="7">
        <v>4.2026891E7</v>
      </c>
      <c r="C151" s="7">
        <v>24.0</v>
      </c>
      <c r="D151" s="7">
        <v>70.0</v>
      </c>
      <c r="E151" s="8" t="s">
        <v>302</v>
      </c>
      <c r="F151" s="9" t="s">
        <v>303</v>
      </c>
      <c r="G151" s="7" t="s">
        <v>27</v>
      </c>
      <c r="H151" s="7">
        <v>4.0</v>
      </c>
      <c r="I151" s="7">
        <v>6.0</v>
      </c>
      <c r="J151" s="7">
        <f t="shared" si="1"/>
        <v>4</v>
      </c>
      <c r="K151" s="7">
        <v>1.0</v>
      </c>
      <c r="L151" s="7"/>
      <c r="M151" s="7">
        <f t="shared" si="2"/>
        <v>1</v>
      </c>
      <c r="N151" s="7">
        <v>3.0</v>
      </c>
      <c r="O151" s="7"/>
      <c r="P151" s="7">
        <f t="shared" si="3"/>
        <v>3</v>
      </c>
      <c r="Q151" s="7">
        <v>0.0</v>
      </c>
      <c r="R151" s="7"/>
      <c r="S151" s="7">
        <f t="shared" si="4"/>
        <v>0</v>
      </c>
      <c r="T151" s="7">
        <v>0.0</v>
      </c>
      <c r="U151" s="7"/>
      <c r="V151" s="7">
        <f t="shared" si="5"/>
        <v>0</v>
      </c>
      <c r="W151" s="7">
        <v>0.0</v>
      </c>
      <c r="X151" s="7"/>
      <c r="Y151" s="7">
        <f t="shared" si="6"/>
        <v>0</v>
      </c>
      <c r="Z151" s="7">
        <v>0.0</v>
      </c>
      <c r="AA151" s="7"/>
      <c r="AB151" s="7">
        <f t="shared" si="7"/>
        <v>0</v>
      </c>
      <c r="AC151" s="7">
        <v>0.0</v>
      </c>
      <c r="AD151" s="7"/>
      <c r="AE151" s="7">
        <f t="shared" si="8"/>
        <v>0</v>
      </c>
      <c r="AF151" s="10"/>
      <c r="AG151" s="10"/>
      <c r="AH151" s="10"/>
      <c r="AI151" s="10"/>
    </row>
    <row r="152" ht="30.0" customHeight="1">
      <c r="A152" s="7">
        <v>150.0</v>
      </c>
      <c r="B152" s="7">
        <v>4.7241494E7</v>
      </c>
      <c r="C152" s="7">
        <v>24.0</v>
      </c>
      <c r="D152" s="7">
        <v>70.0</v>
      </c>
      <c r="E152" s="8" t="s">
        <v>304</v>
      </c>
      <c r="F152" s="9" t="s">
        <v>305</v>
      </c>
      <c r="G152" s="7" t="s">
        <v>27</v>
      </c>
      <c r="H152" s="7">
        <v>10.0</v>
      </c>
      <c r="I152" s="11">
        <v>0.0</v>
      </c>
      <c r="J152" s="7">
        <f t="shared" si="1"/>
        <v>10</v>
      </c>
      <c r="K152" s="7">
        <v>5.0</v>
      </c>
      <c r="L152" s="7"/>
      <c r="M152" s="7">
        <f t="shared" si="2"/>
        <v>5</v>
      </c>
      <c r="N152" s="7">
        <v>0.0</v>
      </c>
      <c r="O152" s="7"/>
      <c r="P152" s="7">
        <f t="shared" si="3"/>
        <v>0</v>
      </c>
      <c r="Q152" s="7">
        <v>5.0</v>
      </c>
      <c r="R152" s="7"/>
      <c r="S152" s="7">
        <f t="shared" si="4"/>
        <v>5</v>
      </c>
      <c r="T152" s="7">
        <v>0.0</v>
      </c>
      <c r="U152" s="7"/>
      <c r="V152" s="7">
        <f t="shared" si="5"/>
        <v>0</v>
      </c>
      <c r="W152" s="7">
        <v>0.0</v>
      </c>
      <c r="X152" s="7"/>
      <c r="Y152" s="7">
        <f t="shared" si="6"/>
        <v>0</v>
      </c>
      <c r="Z152" s="7">
        <v>0.0</v>
      </c>
      <c r="AA152" s="7"/>
      <c r="AB152" s="7">
        <f t="shared" si="7"/>
        <v>0</v>
      </c>
      <c r="AC152" s="7">
        <v>0.0</v>
      </c>
      <c r="AD152" s="7"/>
      <c r="AE152" s="7">
        <f t="shared" si="8"/>
        <v>0</v>
      </c>
      <c r="AF152" s="10"/>
      <c r="AG152" s="10"/>
      <c r="AH152" s="10"/>
      <c r="AI152" s="10"/>
    </row>
    <row r="153" ht="30.0" customHeight="1">
      <c r="A153" s="7">
        <v>151.0</v>
      </c>
      <c r="B153" s="7">
        <v>4.329005E7</v>
      </c>
      <c r="C153" s="7">
        <v>24.0</v>
      </c>
      <c r="D153" s="7">
        <v>70.0</v>
      </c>
      <c r="E153" s="8" t="s">
        <v>306</v>
      </c>
      <c r="F153" s="9" t="s">
        <v>307</v>
      </c>
      <c r="G153" s="7" t="s">
        <v>27</v>
      </c>
      <c r="H153" s="7">
        <v>6.0</v>
      </c>
      <c r="I153" s="7">
        <v>22.0</v>
      </c>
      <c r="J153" s="7">
        <f t="shared" si="1"/>
        <v>6</v>
      </c>
      <c r="K153" s="7">
        <v>0.0</v>
      </c>
      <c r="L153" s="7"/>
      <c r="M153" s="7">
        <f t="shared" si="2"/>
        <v>0</v>
      </c>
      <c r="N153" s="7">
        <v>0.0</v>
      </c>
      <c r="O153" s="7"/>
      <c r="P153" s="7">
        <f t="shared" si="3"/>
        <v>0</v>
      </c>
      <c r="Q153" s="7">
        <v>6.0</v>
      </c>
      <c r="R153" s="7"/>
      <c r="S153" s="7">
        <f t="shared" si="4"/>
        <v>6</v>
      </c>
      <c r="T153" s="7">
        <v>0.0</v>
      </c>
      <c r="U153" s="7"/>
      <c r="V153" s="7">
        <f t="shared" si="5"/>
        <v>0</v>
      </c>
      <c r="W153" s="7">
        <v>0.0</v>
      </c>
      <c r="X153" s="7"/>
      <c r="Y153" s="7">
        <f t="shared" si="6"/>
        <v>0</v>
      </c>
      <c r="Z153" s="7">
        <v>0.0</v>
      </c>
      <c r="AA153" s="7"/>
      <c r="AB153" s="7">
        <f t="shared" si="7"/>
        <v>0</v>
      </c>
      <c r="AC153" s="7">
        <v>0.0</v>
      </c>
      <c r="AD153" s="7"/>
      <c r="AE153" s="7">
        <f t="shared" si="8"/>
        <v>0</v>
      </c>
      <c r="AF153" s="10"/>
      <c r="AG153" s="10"/>
      <c r="AH153" s="10"/>
      <c r="AI153" s="10"/>
    </row>
    <row r="154" ht="30.0" customHeight="1">
      <c r="A154" s="7">
        <v>152.0</v>
      </c>
      <c r="B154" s="7">
        <v>4.2087582E7</v>
      </c>
      <c r="C154" s="7">
        <v>23.0</v>
      </c>
      <c r="D154" s="7">
        <v>70.0</v>
      </c>
      <c r="E154" s="8" t="s">
        <v>308</v>
      </c>
      <c r="F154" s="9" t="s">
        <v>309</v>
      </c>
      <c r="G154" s="7" t="s">
        <v>27</v>
      </c>
      <c r="H154" s="7">
        <v>30.0</v>
      </c>
      <c r="I154" s="7">
        <v>140.0</v>
      </c>
      <c r="J154" s="7">
        <f t="shared" si="1"/>
        <v>0</v>
      </c>
      <c r="K154" s="7">
        <v>0.0</v>
      </c>
      <c r="L154" s="7"/>
      <c r="M154" s="7">
        <f t="shared" si="2"/>
        <v>0</v>
      </c>
      <c r="N154" s="7">
        <v>0.0</v>
      </c>
      <c r="O154" s="7"/>
      <c r="P154" s="7">
        <f t="shared" si="3"/>
        <v>0</v>
      </c>
      <c r="Q154" s="7">
        <v>0.0</v>
      </c>
      <c r="R154" s="7"/>
      <c r="S154" s="7">
        <f t="shared" si="4"/>
        <v>0</v>
      </c>
      <c r="T154" s="7">
        <v>0.0</v>
      </c>
      <c r="U154" s="7"/>
      <c r="V154" s="7">
        <f t="shared" si="5"/>
        <v>0</v>
      </c>
      <c r="W154" s="7">
        <v>0.0</v>
      </c>
      <c r="X154" s="7"/>
      <c r="Y154" s="7">
        <f t="shared" si="6"/>
        <v>0</v>
      </c>
      <c r="Z154" s="7">
        <v>0.0</v>
      </c>
      <c r="AA154" s="7"/>
      <c r="AB154" s="7">
        <f t="shared" si="7"/>
        <v>0</v>
      </c>
      <c r="AC154" s="7">
        <v>0.0</v>
      </c>
      <c r="AD154" s="7"/>
      <c r="AE154" s="7">
        <f t="shared" si="8"/>
        <v>0</v>
      </c>
      <c r="AF154" s="10"/>
      <c r="AG154" s="10"/>
      <c r="AH154" s="10"/>
      <c r="AI154" s="10"/>
    </row>
    <row r="155" ht="30.0" customHeight="1">
      <c r="A155" s="7">
        <v>153.0</v>
      </c>
      <c r="B155" s="7">
        <v>4.2089001E7</v>
      </c>
      <c r="C155" s="7">
        <v>23.0</v>
      </c>
      <c r="D155" s="7">
        <v>70.0</v>
      </c>
      <c r="E155" s="8" t="s">
        <v>310</v>
      </c>
      <c r="F155" s="9" t="s">
        <v>311</v>
      </c>
      <c r="G155" s="7" t="s">
        <v>27</v>
      </c>
      <c r="H155" s="7">
        <v>350.0</v>
      </c>
      <c r="I155" s="7">
        <v>192.0</v>
      </c>
      <c r="J155" s="7">
        <f t="shared" si="1"/>
        <v>15</v>
      </c>
      <c r="K155" s="7">
        <v>0.0</v>
      </c>
      <c r="L155" s="7"/>
      <c r="M155" s="7">
        <f t="shared" si="2"/>
        <v>0</v>
      </c>
      <c r="N155" s="7">
        <v>0.0</v>
      </c>
      <c r="O155" s="7"/>
      <c r="P155" s="7">
        <f t="shared" si="3"/>
        <v>0</v>
      </c>
      <c r="Q155" s="7">
        <v>0.0</v>
      </c>
      <c r="R155" s="7"/>
      <c r="S155" s="7">
        <f t="shared" si="4"/>
        <v>0</v>
      </c>
      <c r="T155" s="7">
        <v>0.0</v>
      </c>
      <c r="U155" s="7"/>
      <c r="V155" s="7">
        <f t="shared" si="5"/>
        <v>0</v>
      </c>
      <c r="W155" s="7">
        <v>0.0</v>
      </c>
      <c r="X155" s="7"/>
      <c r="Y155" s="7">
        <f t="shared" si="6"/>
        <v>0</v>
      </c>
      <c r="Z155" s="7">
        <v>15.0</v>
      </c>
      <c r="AA155" s="7"/>
      <c r="AB155" s="7">
        <f t="shared" si="7"/>
        <v>15</v>
      </c>
      <c r="AC155" s="7">
        <v>0.0</v>
      </c>
      <c r="AD155" s="7"/>
      <c r="AE155" s="7">
        <f t="shared" si="8"/>
        <v>0</v>
      </c>
      <c r="AF155" s="10"/>
      <c r="AG155" s="10"/>
      <c r="AH155" s="10"/>
      <c r="AI155" s="10"/>
    </row>
    <row r="156" ht="30.0" customHeight="1">
      <c r="A156" s="7">
        <v>154.0</v>
      </c>
      <c r="B156" s="7">
        <v>4.2089025E7</v>
      </c>
      <c r="C156" s="7">
        <v>24.0</v>
      </c>
      <c r="D156" s="7">
        <v>70.0</v>
      </c>
      <c r="E156" s="8" t="s">
        <v>312</v>
      </c>
      <c r="F156" s="9" t="s">
        <v>313</v>
      </c>
      <c r="G156" s="7" t="s">
        <v>27</v>
      </c>
      <c r="H156" s="7">
        <v>250.0</v>
      </c>
      <c r="I156" s="11">
        <v>0.0</v>
      </c>
      <c r="J156" s="7">
        <f t="shared" si="1"/>
        <v>30</v>
      </c>
      <c r="K156" s="7">
        <v>0.0</v>
      </c>
      <c r="L156" s="7"/>
      <c r="M156" s="7">
        <f t="shared" si="2"/>
        <v>0</v>
      </c>
      <c r="N156" s="7">
        <v>0.0</v>
      </c>
      <c r="O156" s="7"/>
      <c r="P156" s="7">
        <f t="shared" si="3"/>
        <v>0</v>
      </c>
      <c r="Q156" s="7">
        <v>0.0</v>
      </c>
      <c r="R156" s="7"/>
      <c r="S156" s="7">
        <f t="shared" si="4"/>
        <v>0</v>
      </c>
      <c r="T156" s="7">
        <v>0.0</v>
      </c>
      <c r="U156" s="7"/>
      <c r="V156" s="7">
        <f t="shared" si="5"/>
        <v>0</v>
      </c>
      <c r="W156" s="12">
        <v>15.0</v>
      </c>
      <c r="X156" s="7"/>
      <c r="Y156" s="7">
        <f t="shared" si="6"/>
        <v>15</v>
      </c>
      <c r="Z156" s="7">
        <v>15.0</v>
      </c>
      <c r="AA156" s="7"/>
      <c r="AB156" s="7">
        <f t="shared" si="7"/>
        <v>15</v>
      </c>
      <c r="AC156" s="7">
        <v>0.0</v>
      </c>
      <c r="AD156" s="7"/>
      <c r="AE156" s="7">
        <f t="shared" si="8"/>
        <v>0</v>
      </c>
      <c r="AF156" s="10"/>
      <c r="AG156" s="10"/>
      <c r="AH156" s="10"/>
      <c r="AI156" s="10"/>
    </row>
    <row r="157" ht="30.0" customHeight="1">
      <c r="A157" s="7">
        <v>155.0</v>
      </c>
      <c r="B157" s="7">
        <v>4.2089037E7</v>
      </c>
      <c r="C157" s="7">
        <v>23.0</v>
      </c>
      <c r="D157" s="7">
        <v>70.0</v>
      </c>
      <c r="E157" s="8" t="s">
        <v>314</v>
      </c>
      <c r="F157" s="9" t="s">
        <v>315</v>
      </c>
      <c r="G157" s="7" t="s">
        <v>27</v>
      </c>
      <c r="H157" s="7">
        <v>140.0</v>
      </c>
      <c r="I157" s="7">
        <v>250.0</v>
      </c>
      <c r="J157" s="7">
        <f t="shared" si="1"/>
        <v>30</v>
      </c>
      <c r="K157" s="7">
        <v>0.0</v>
      </c>
      <c r="L157" s="7"/>
      <c r="M157" s="7">
        <f t="shared" si="2"/>
        <v>0</v>
      </c>
      <c r="N157" s="7">
        <v>0.0</v>
      </c>
      <c r="O157" s="7"/>
      <c r="P157" s="7">
        <f t="shared" si="3"/>
        <v>0</v>
      </c>
      <c r="Q157" s="7">
        <v>0.0</v>
      </c>
      <c r="R157" s="7"/>
      <c r="S157" s="7">
        <f t="shared" si="4"/>
        <v>0</v>
      </c>
      <c r="T157" s="7">
        <v>0.0</v>
      </c>
      <c r="U157" s="7"/>
      <c r="V157" s="7">
        <f t="shared" si="5"/>
        <v>0</v>
      </c>
      <c r="W157" s="12">
        <v>15.0</v>
      </c>
      <c r="X157" s="7"/>
      <c r="Y157" s="7">
        <f t="shared" si="6"/>
        <v>15</v>
      </c>
      <c r="Z157" s="7">
        <v>15.0</v>
      </c>
      <c r="AA157" s="7"/>
      <c r="AB157" s="7">
        <f t="shared" si="7"/>
        <v>15</v>
      </c>
      <c r="AC157" s="7">
        <v>0.0</v>
      </c>
      <c r="AD157" s="7"/>
      <c r="AE157" s="7">
        <f t="shared" si="8"/>
        <v>0</v>
      </c>
      <c r="AF157" s="10"/>
      <c r="AG157" s="10"/>
      <c r="AH157" s="10"/>
      <c r="AI157" s="10"/>
    </row>
    <row r="158" ht="30.0" customHeight="1">
      <c r="A158" s="7">
        <v>156.0</v>
      </c>
      <c r="B158" s="7">
        <v>4.2089219E7</v>
      </c>
      <c r="C158" s="7">
        <v>23.0</v>
      </c>
      <c r="D158" s="7">
        <v>10.0</v>
      </c>
      <c r="E158" s="8" t="s">
        <v>316</v>
      </c>
      <c r="F158" s="9" t="s">
        <v>317</v>
      </c>
      <c r="G158" s="7" t="s">
        <v>27</v>
      </c>
      <c r="H158" s="7">
        <v>60.0</v>
      </c>
      <c r="I158" s="7">
        <v>120.0</v>
      </c>
      <c r="J158" s="7">
        <f t="shared" si="1"/>
        <v>60</v>
      </c>
      <c r="K158" s="7">
        <v>10.0</v>
      </c>
      <c r="L158" s="7"/>
      <c r="M158" s="7">
        <f t="shared" si="2"/>
        <v>10</v>
      </c>
      <c r="N158" s="7">
        <v>20.0</v>
      </c>
      <c r="O158" s="7"/>
      <c r="P158" s="7">
        <f t="shared" si="3"/>
        <v>20</v>
      </c>
      <c r="Q158" s="7">
        <v>0.0</v>
      </c>
      <c r="R158" s="7"/>
      <c r="S158" s="7">
        <f t="shared" si="4"/>
        <v>0</v>
      </c>
      <c r="T158" s="7">
        <v>15.0</v>
      </c>
      <c r="U158" s="7"/>
      <c r="V158" s="7">
        <f t="shared" si="5"/>
        <v>15</v>
      </c>
      <c r="W158" s="7">
        <v>15.0</v>
      </c>
      <c r="X158" s="7"/>
      <c r="Y158" s="7">
        <f t="shared" si="6"/>
        <v>15</v>
      </c>
      <c r="Z158" s="7">
        <v>0.0</v>
      </c>
      <c r="AA158" s="7"/>
      <c r="AB158" s="7">
        <f t="shared" si="7"/>
        <v>0</v>
      </c>
      <c r="AC158" s="7">
        <v>0.0</v>
      </c>
      <c r="AD158" s="7"/>
      <c r="AE158" s="7">
        <f t="shared" si="8"/>
        <v>0</v>
      </c>
      <c r="AF158" s="10"/>
      <c r="AG158" s="10"/>
      <c r="AH158" s="10"/>
      <c r="AI158" s="10"/>
    </row>
    <row r="159" ht="30.0" customHeight="1">
      <c r="A159" s="7">
        <v>157.0</v>
      </c>
      <c r="B159" s="7">
        <v>4.2088136E7</v>
      </c>
      <c r="C159" s="7">
        <v>24.0</v>
      </c>
      <c r="D159" s="7">
        <v>70.0</v>
      </c>
      <c r="E159" s="8" t="s">
        <v>318</v>
      </c>
      <c r="F159" s="9" t="s">
        <v>319</v>
      </c>
      <c r="G159" s="7" t="s">
        <v>27</v>
      </c>
      <c r="H159" s="7">
        <v>30.0</v>
      </c>
      <c r="I159" s="7">
        <v>420.0</v>
      </c>
      <c r="J159" s="7">
        <f t="shared" si="1"/>
        <v>30</v>
      </c>
      <c r="K159" s="7">
        <v>10.0</v>
      </c>
      <c r="L159" s="7"/>
      <c r="M159" s="7">
        <f t="shared" si="2"/>
        <v>10</v>
      </c>
      <c r="N159" s="7">
        <v>20.0</v>
      </c>
      <c r="O159" s="7"/>
      <c r="P159" s="7">
        <f t="shared" si="3"/>
        <v>20</v>
      </c>
      <c r="Q159" s="7">
        <v>0.0</v>
      </c>
      <c r="R159" s="7"/>
      <c r="S159" s="7">
        <f t="shared" si="4"/>
        <v>0</v>
      </c>
      <c r="T159" s="7">
        <v>0.0</v>
      </c>
      <c r="U159" s="7"/>
      <c r="V159" s="7">
        <f t="shared" si="5"/>
        <v>0</v>
      </c>
      <c r="W159" s="7">
        <v>0.0</v>
      </c>
      <c r="X159" s="7"/>
      <c r="Y159" s="7">
        <f t="shared" si="6"/>
        <v>0</v>
      </c>
      <c r="Z159" s="7">
        <v>0.0</v>
      </c>
      <c r="AA159" s="7"/>
      <c r="AB159" s="7">
        <f t="shared" si="7"/>
        <v>0</v>
      </c>
      <c r="AC159" s="7">
        <v>0.0</v>
      </c>
      <c r="AD159" s="7"/>
      <c r="AE159" s="7">
        <f t="shared" si="8"/>
        <v>0</v>
      </c>
      <c r="AF159" s="10"/>
      <c r="AG159" s="10"/>
      <c r="AH159" s="10"/>
      <c r="AI159" s="10"/>
    </row>
    <row r="160" ht="30.0" customHeight="1">
      <c r="A160" s="7">
        <v>158.0</v>
      </c>
      <c r="B160" s="7">
        <v>4.2088306E7</v>
      </c>
      <c r="C160" s="7">
        <v>24.0</v>
      </c>
      <c r="D160" s="7">
        <v>70.0</v>
      </c>
      <c r="E160" s="8" t="s">
        <v>320</v>
      </c>
      <c r="F160" s="9" t="s">
        <v>321</v>
      </c>
      <c r="G160" s="7" t="s">
        <v>27</v>
      </c>
      <c r="H160" s="7">
        <v>36.0</v>
      </c>
      <c r="I160" s="7">
        <v>30.0</v>
      </c>
      <c r="J160" s="7">
        <f t="shared" si="1"/>
        <v>20</v>
      </c>
      <c r="K160" s="7">
        <v>0.0</v>
      </c>
      <c r="L160" s="7"/>
      <c r="M160" s="7">
        <f t="shared" si="2"/>
        <v>0</v>
      </c>
      <c r="N160" s="7">
        <v>0.0</v>
      </c>
      <c r="O160" s="7"/>
      <c r="P160" s="7">
        <f t="shared" si="3"/>
        <v>0</v>
      </c>
      <c r="Q160" s="7">
        <v>0.0</v>
      </c>
      <c r="R160" s="7"/>
      <c r="S160" s="7">
        <f t="shared" si="4"/>
        <v>0</v>
      </c>
      <c r="T160" s="7">
        <v>10.0</v>
      </c>
      <c r="U160" s="7"/>
      <c r="V160" s="7">
        <f t="shared" si="5"/>
        <v>10</v>
      </c>
      <c r="W160" s="7">
        <v>10.0</v>
      </c>
      <c r="X160" s="7"/>
      <c r="Y160" s="7">
        <f t="shared" si="6"/>
        <v>10</v>
      </c>
      <c r="Z160" s="7">
        <v>0.0</v>
      </c>
      <c r="AA160" s="7"/>
      <c r="AB160" s="7">
        <f t="shared" si="7"/>
        <v>0</v>
      </c>
      <c r="AC160" s="7">
        <v>0.0</v>
      </c>
      <c r="AD160" s="7"/>
      <c r="AE160" s="7">
        <f t="shared" si="8"/>
        <v>0</v>
      </c>
      <c r="AF160" s="10"/>
      <c r="AG160" s="10"/>
      <c r="AH160" s="10"/>
      <c r="AI160" s="10"/>
    </row>
    <row r="161" ht="30.0" customHeight="1">
      <c r="A161" s="7">
        <v>159.0</v>
      </c>
      <c r="B161" s="7">
        <v>4.2088677E7</v>
      </c>
      <c r="C161" s="7">
        <v>24.0</v>
      </c>
      <c r="D161" s="7">
        <v>70.0</v>
      </c>
      <c r="E161" s="8" t="s">
        <v>322</v>
      </c>
      <c r="F161" s="9" t="s">
        <v>323</v>
      </c>
      <c r="G161" s="7" t="s">
        <v>27</v>
      </c>
      <c r="H161" s="7">
        <v>20.0</v>
      </c>
      <c r="I161" s="7">
        <v>65.0</v>
      </c>
      <c r="J161" s="7">
        <f t="shared" si="1"/>
        <v>20</v>
      </c>
      <c r="K161" s="7">
        <v>20.0</v>
      </c>
      <c r="L161" s="7"/>
      <c r="M161" s="7">
        <f t="shared" si="2"/>
        <v>20</v>
      </c>
      <c r="N161" s="7">
        <v>0.0</v>
      </c>
      <c r="O161" s="7"/>
      <c r="P161" s="7">
        <f t="shared" si="3"/>
        <v>0</v>
      </c>
      <c r="Q161" s="7">
        <v>0.0</v>
      </c>
      <c r="R161" s="7"/>
      <c r="S161" s="7">
        <f t="shared" si="4"/>
        <v>0</v>
      </c>
      <c r="T161" s="7">
        <v>0.0</v>
      </c>
      <c r="U161" s="7"/>
      <c r="V161" s="7">
        <f t="shared" si="5"/>
        <v>0</v>
      </c>
      <c r="W161" s="7">
        <v>0.0</v>
      </c>
      <c r="X161" s="7"/>
      <c r="Y161" s="7">
        <f t="shared" si="6"/>
        <v>0</v>
      </c>
      <c r="Z161" s="7">
        <v>0.0</v>
      </c>
      <c r="AA161" s="7"/>
      <c r="AB161" s="7">
        <f t="shared" si="7"/>
        <v>0</v>
      </c>
      <c r="AC161" s="7">
        <v>0.0</v>
      </c>
      <c r="AD161" s="7"/>
      <c r="AE161" s="7">
        <f t="shared" si="8"/>
        <v>0</v>
      </c>
      <c r="AF161" s="10"/>
      <c r="AG161" s="10"/>
      <c r="AH161" s="10"/>
      <c r="AI161" s="10"/>
    </row>
    <row r="162" ht="30.0" customHeight="1">
      <c r="A162" s="7">
        <v>160.0</v>
      </c>
      <c r="B162" s="7">
        <v>4.2088513E7</v>
      </c>
      <c r="C162" s="7">
        <v>23.0</v>
      </c>
      <c r="D162" s="7">
        <v>70.0</v>
      </c>
      <c r="E162" s="8" t="s">
        <v>324</v>
      </c>
      <c r="F162" s="9" t="s">
        <v>325</v>
      </c>
      <c r="G162" s="7" t="s">
        <v>27</v>
      </c>
      <c r="H162" s="7">
        <v>9.0</v>
      </c>
      <c r="I162" s="11">
        <v>0.0</v>
      </c>
      <c r="J162" s="7">
        <f t="shared" si="1"/>
        <v>9</v>
      </c>
      <c r="K162" s="7">
        <v>9.0</v>
      </c>
      <c r="L162" s="7"/>
      <c r="M162" s="7">
        <f t="shared" si="2"/>
        <v>9</v>
      </c>
      <c r="N162" s="7">
        <v>0.0</v>
      </c>
      <c r="O162" s="7"/>
      <c r="P162" s="7">
        <f t="shared" si="3"/>
        <v>0</v>
      </c>
      <c r="Q162" s="7">
        <v>0.0</v>
      </c>
      <c r="R162" s="7"/>
      <c r="S162" s="7">
        <f t="shared" si="4"/>
        <v>0</v>
      </c>
      <c r="T162" s="7">
        <v>0.0</v>
      </c>
      <c r="U162" s="7"/>
      <c r="V162" s="7">
        <f t="shared" si="5"/>
        <v>0</v>
      </c>
      <c r="W162" s="7">
        <v>0.0</v>
      </c>
      <c r="X162" s="7"/>
      <c r="Y162" s="7">
        <f t="shared" si="6"/>
        <v>0</v>
      </c>
      <c r="Z162" s="7">
        <v>0.0</v>
      </c>
      <c r="AA162" s="7"/>
      <c r="AB162" s="7">
        <f t="shared" si="7"/>
        <v>0</v>
      </c>
      <c r="AC162" s="7">
        <v>0.0</v>
      </c>
      <c r="AD162" s="7"/>
      <c r="AE162" s="7">
        <f t="shared" si="8"/>
        <v>0</v>
      </c>
      <c r="AF162" s="10"/>
      <c r="AG162" s="10"/>
      <c r="AH162" s="10"/>
      <c r="AI162" s="10"/>
    </row>
    <row r="163" ht="30.0" customHeight="1">
      <c r="A163" s="7">
        <v>161.0</v>
      </c>
      <c r="B163" s="7">
        <v>4.2082122E7</v>
      </c>
      <c r="C163" s="7">
        <v>23.0</v>
      </c>
      <c r="D163" s="7">
        <v>10.0</v>
      </c>
      <c r="E163" s="8" t="s">
        <v>326</v>
      </c>
      <c r="F163" s="9" t="s">
        <v>327</v>
      </c>
      <c r="G163" s="7" t="s">
        <v>27</v>
      </c>
      <c r="H163" s="7">
        <v>96.0</v>
      </c>
      <c r="I163" s="7">
        <v>44.0</v>
      </c>
      <c r="J163" s="7">
        <f t="shared" si="1"/>
        <v>90</v>
      </c>
      <c r="K163" s="7">
        <v>30.0</v>
      </c>
      <c r="L163" s="7"/>
      <c r="M163" s="7">
        <f t="shared" si="2"/>
        <v>30</v>
      </c>
      <c r="N163" s="7">
        <v>30.0</v>
      </c>
      <c r="O163" s="7"/>
      <c r="P163" s="7">
        <f t="shared" si="3"/>
        <v>30</v>
      </c>
      <c r="Q163" s="7">
        <v>0.0</v>
      </c>
      <c r="R163" s="7"/>
      <c r="S163" s="7">
        <f t="shared" si="4"/>
        <v>0</v>
      </c>
      <c r="T163" s="7">
        <v>10.0</v>
      </c>
      <c r="U163" s="7"/>
      <c r="V163" s="7">
        <f t="shared" si="5"/>
        <v>10</v>
      </c>
      <c r="W163" s="7">
        <v>10.0</v>
      </c>
      <c r="X163" s="7"/>
      <c r="Y163" s="7">
        <f t="shared" si="6"/>
        <v>10</v>
      </c>
      <c r="Z163" s="7">
        <v>10.0</v>
      </c>
      <c r="AA163" s="7"/>
      <c r="AB163" s="7">
        <f t="shared" si="7"/>
        <v>10</v>
      </c>
      <c r="AC163" s="7">
        <v>0.0</v>
      </c>
      <c r="AD163" s="7"/>
      <c r="AE163" s="7">
        <f t="shared" si="8"/>
        <v>0</v>
      </c>
      <c r="AF163" s="10"/>
      <c r="AG163" s="10"/>
      <c r="AH163" s="10"/>
      <c r="AI163" s="10"/>
    </row>
    <row r="164" ht="30.0" customHeight="1">
      <c r="A164" s="7">
        <v>162.0</v>
      </c>
      <c r="B164" s="7">
        <v>4.2082146E7</v>
      </c>
      <c r="C164" s="7">
        <v>23.0</v>
      </c>
      <c r="D164" s="7">
        <v>10.0</v>
      </c>
      <c r="E164" s="8" t="s">
        <v>328</v>
      </c>
      <c r="F164" s="9" t="s">
        <v>328</v>
      </c>
      <c r="G164" s="7" t="s">
        <v>27</v>
      </c>
      <c r="H164" s="7">
        <v>144.0</v>
      </c>
      <c r="I164" s="7">
        <v>124.0</v>
      </c>
      <c r="J164" s="7">
        <f t="shared" si="1"/>
        <v>144</v>
      </c>
      <c r="K164" s="7">
        <v>100.0</v>
      </c>
      <c r="L164" s="7"/>
      <c r="M164" s="7">
        <f t="shared" si="2"/>
        <v>100</v>
      </c>
      <c r="N164" s="7">
        <v>24.0</v>
      </c>
      <c r="O164" s="7"/>
      <c r="P164" s="7">
        <f t="shared" si="3"/>
        <v>24</v>
      </c>
      <c r="Q164" s="7">
        <v>0.0</v>
      </c>
      <c r="R164" s="7"/>
      <c r="S164" s="7">
        <f t="shared" si="4"/>
        <v>0</v>
      </c>
      <c r="T164" s="7">
        <v>0.0</v>
      </c>
      <c r="U164" s="7"/>
      <c r="V164" s="7">
        <f t="shared" si="5"/>
        <v>0</v>
      </c>
      <c r="W164" s="7">
        <v>0.0</v>
      </c>
      <c r="X164" s="7"/>
      <c r="Y164" s="7">
        <f t="shared" si="6"/>
        <v>0</v>
      </c>
      <c r="Z164" s="7">
        <v>20.0</v>
      </c>
      <c r="AA164" s="7"/>
      <c r="AB164" s="7">
        <f t="shared" si="7"/>
        <v>20</v>
      </c>
      <c r="AC164" s="7">
        <v>0.0</v>
      </c>
      <c r="AD164" s="7"/>
      <c r="AE164" s="7">
        <f t="shared" si="8"/>
        <v>0</v>
      </c>
      <c r="AF164" s="10"/>
      <c r="AG164" s="10"/>
      <c r="AH164" s="10"/>
      <c r="AI164" s="10"/>
    </row>
    <row r="165" ht="30.0" customHeight="1">
      <c r="A165" s="7">
        <v>163.0</v>
      </c>
      <c r="B165" s="7">
        <v>4.7241603E7</v>
      </c>
      <c r="C165" s="7">
        <v>24.0</v>
      </c>
      <c r="D165" s="7">
        <v>70.0</v>
      </c>
      <c r="E165" s="8" t="s">
        <v>329</v>
      </c>
      <c r="F165" s="9" t="s">
        <v>329</v>
      </c>
      <c r="G165" s="7" t="s">
        <v>27</v>
      </c>
      <c r="H165" s="7">
        <v>10.0</v>
      </c>
      <c r="I165" s="11">
        <v>0.0</v>
      </c>
      <c r="J165" s="7">
        <f t="shared" si="1"/>
        <v>10</v>
      </c>
      <c r="K165" s="7">
        <v>6.0</v>
      </c>
      <c r="L165" s="7"/>
      <c r="M165" s="7">
        <f t="shared" si="2"/>
        <v>6</v>
      </c>
      <c r="N165" s="7">
        <v>4.0</v>
      </c>
      <c r="O165" s="7"/>
      <c r="P165" s="7">
        <f t="shared" si="3"/>
        <v>4</v>
      </c>
      <c r="Q165" s="7">
        <v>0.0</v>
      </c>
      <c r="R165" s="7"/>
      <c r="S165" s="7">
        <f t="shared" si="4"/>
        <v>0</v>
      </c>
      <c r="T165" s="7">
        <v>0.0</v>
      </c>
      <c r="U165" s="7"/>
      <c r="V165" s="7">
        <f t="shared" si="5"/>
        <v>0</v>
      </c>
      <c r="W165" s="7">
        <v>0.0</v>
      </c>
      <c r="X165" s="7"/>
      <c r="Y165" s="7">
        <f t="shared" si="6"/>
        <v>0</v>
      </c>
      <c r="Z165" s="7">
        <v>0.0</v>
      </c>
      <c r="AA165" s="7"/>
      <c r="AB165" s="7">
        <f t="shared" si="7"/>
        <v>0</v>
      </c>
      <c r="AC165" s="7">
        <v>0.0</v>
      </c>
      <c r="AD165" s="7"/>
      <c r="AE165" s="7">
        <f t="shared" si="8"/>
        <v>0</v>
      </c>
      <c r="AF165" s="10"/>
      <c r="AG165" s="10"/>
      <c r="AH165" s="10"/>
      <c r="AI165" s="10"/>
    </row>
    <row r="166" ht="30.0" customHeight="1">
      <c r="A166" s="7">
        <v>164.0</v>
      </c>
      <c r="B166" s="7">
        <v>4.7241482E7</v>
      </c>
      <c r="C166" s="7">
        <v>24.0</v>
      </c>
      <c r="D166" s="7">
        <v>70.0</v>
      </c>
      <c r="E166" s="8" t="s">
        <v>330</v>
      </c>
      <c r="F166" s="9" t="s">
        <v>331</v>
      </c>
      <c r="G166" s="7" t="s">
        <v>27</v>
      </c>
      <c r="H166" s="7">
        <v>10.0</v>
      </c>
      <c r="I166" s="7">
        <v>10.0</v>
      </c>
      <c r="J166" s="7">
        <f t="shared" si="1"/>
        <v>5</v>
      </c>
      <c r="K166" s="7">
        <v>0.0</v>
      </c>
      <c r="L166" s="7"/>
      <c r="M166" s="7">
        <f t="shared" si="2"/>
        <v>0</v>
      </c>
      <c r="N166" s="7">
        <v>0.0</v>
      </c>
      <c r="O166" s="7"/>
      <c r="P166" s="7">
        <f t="shared" si="3"/>
        <v>0</v>
      </c>
      <c r="Q166" s="7">
        <v>5.0</v>
      </c>
      <c r="R166" s="7"/>
      <c r="S166" s="7">
        <f t="shared" si="4"/>
        <v>5</v>
      </c>
      <c r="T166" s="7">
        <v>0.0</v>
      </c>
      <c r="U166" s="7"/>
      <c r="V166" s="7">
        <f t="shared" si="5"/>
        <v>0</v>
      </c>
      <c r="W166" s="7">
        <v>0.0</v>
      </c>
      <c r="X166" s="7"/>
      <c r="Y166" s="7">
        <f t="shared" si="6"/>
        <v>0</v>
      </c>
      <c r="Z166" s="7">
        <v>0.0</v>
      </c>
      <c r="AA166" s="7"/>
      <c r="AB166" s="7">
        <f t="shared" si="7"/>
        <v>0</v>
      </c>
      <c r="AC166" s="7">
        <v>0.0</v>
      </c>
      <c r="AD166" s="7"/>
      <c r="AE166" s="7">
        <f t="shared" si="8"/>
        <v>0</v>
      </c>
      <c r="AF166" s="10"/>
      <c r="AG166" s="10"/>
      <c r="AH166" s="10"/>
      <c r="AI166" s="10"/>
    </row>
    <row r="167" ht="30.0" customHeight="1">
      <c r="A167" s="7">
        <v>165.0</v>
      </c>
      <c r="B167" s="7">
        <v>4.7241524E7</v>
      </c>
      <c r="C167" s="7">
        <v>24.0</v>
      </c>
      <c r="D167" s="7">
        <v>70.0</v>
      </c>
      <c r="E167" s="8" t="s">
        <v>332</v>
      </c>
      <c r="F167" s="9" t="s">
        <v>333</v>
      </c>
      <c r="G167" s="7" t="s">
        <v>27</v>
      </c>
      <c r="H167" s="7">
        <v>8.0</v>
      </c>
      <c r="I167" s="7">
        <v>6.0</v>
      </c>
      <c r="J167" s="7">
        <f t="shared" si="1"/>
        <v>8</v>
      </c>
      <c r="K167" s="7">
        <v>4.0</v>
      </c>
      <c r="L167" s="7"/>
      <c r="M167" s="7">
        <f t="shared" si="2"/>
        <v>4</v>
      </c>
      <c r="N167" s="7">
        <v>2.0</v>
      </c>
      <c r="O167" s="7"/>
      <c r="P167" s="7">
        <f t="shared" si="3"/>
        <v>2</v>
      </c>
      <c r="Q167" s="7">
        <v>2.0</v>
      </c>
      <c r="R167" s="7"/>
      <c r="S167" s="7">
        <f t="shared" si="4"/>
        <v>2</v>
      </c>
      <c r="T167" s="7">
        <v>0.0</v>
      </c>
      <c r="U167" s="7"/>
      <c r="V167" s="7">
        <f t="shared" si="5"/>
        <v>0</v>
      </c>
      <c r="W167" s="7">
        <v>0.0</v>
      </c>
      <c r="X167" s="7"/>
      <c r="Y167" s="7">
        <f t="shared" si="6"/>
        <v>0</v>
      </c>
      <c r="Z167" s="7">
        <v>0.0</v>
      </c>
      <c r="AA167" s="7"/>
      <c r="AB167" s="7">
        <f t="shared" si="7"/>
        <v>0</v>
      </c>
      <c r="AC167" s="7">
        <v>0.0</v>
      </c>
      <c r="AD167" s="7"/>
      <c r="AE167" s="7">
        <f t="shared" si="8"/>
        <v>0</v>
      </c>
      <c r="AF167" s="10"/>
      <c r="AG167" s="10"/>
      <c r="AH167" s="10"/>
      <c r="AI167" s="10"/>
    </row>
    <row r="168" ht="30.0" customHeight="1">
      <c r="A168" s="7">
        <v>166.0</v>
      </c>
      <c r="B168" s="7">
        <v>4.7240763E7</v>
      </c>
      <c r="C168" s="7">
        <v>23.0</v>
      </c>
      <c r="D168" s="7">
        <v>70.0</v>
      </c>
      <c r="E168" s="8" t="s">
        <v>334</v>
      </c>
      <c r="F168" s="9" t="s">
        <v>335</v>
      </c>
      <c r="G168" s="7" t="s">
        <v>27</v>
      </c>
      <c r="H168" s="7">
        <v>10.0</v>
      </c>
      <c r="I168" s="11">
        <v>0.0</v>
      </c>
      <c r="J168" s="7">
        <f t="shared" si="1"/>
        <v>5</v>
      </c>
      <c r="K168" s="7">
        <v>5.0</v>
      </c>
      <c r="L168" s="7"/>
      <c r="M168" s="7">
        <f t="shared" si="2"/>
        <v>5</v>
      </c>
      <c r="N168" s="7">
        <v>0.0</v>
      </c>
      <c r="O168" s="7"/>
      <c r="P168" s="7">
        <f t="shared" si="3"/>
        <v>0</v>
      </c>
      <c r="Q168" s="7">
        <v>0.0</v>
      </c>
      <c r="R168" s="7"/>
      <c r="S168" s="7">
        <f t="shared" si="4"/>
        <v>0</v>
      </c>
      <c r="T168" s="7">
        <v>0.0</v>
      </c>
      <c r="U168" s="7"/>
      <c r="V168" s="7">
        <f t="shared" si="5"/>
        <v>0</v>
      </c>
      <c r="W168" s="7">
        <v>0.0</v>
      </c>
      <c r="X168" s="7"/>
      <c r="Y168" s="7">
        <f t="shared" si="6"/>
        <v>0</v>
      </c>
      <c r="Z168" s="7">
        <v>0.0</v>
      </c>
      <c r="AA168" s="7"/>
      <c r="AB168" s="7">
        <f t="shared" si="7"/>
        <v>0</v>
      </c>
      <c r="AC168" s="7">
        <v>0.0</v>
      </c>
      <c r="AD168" s="7"/>
      <c r="AE168" s="7">
        <f t="shared" si="8"/>
        <v>0</v>
      </c>
      <c r="AF168" s="10"/>
      <c r="AG168" s="10"/>
      <c r="AH168" s="10"/>
      <c r="AI168" s="10"/>
    </row>
    <row r="169" ht="30.0" customHeight="1">
      <c r="A169" s="7">
        <v>167.0</v>
      </c>
      <c r="B169" s="7">
        <v>4.742048E7</v>
      </c>
      <c r="C169" s="7">
        <v>24.0</v>
      </c>
      <c r="D169" s="7">
        <v>10.0</v>
      </c>
      <c r="E169" s="8" t="s">
        <v>336</v>
      </c>
      <c r="F169" s="9" t="s">
        <v>337</v>
      </c>
      <c r="G169" s="7" t="s">
        <v>27</v>
      </c>
      <c r="H169" s="7">
        <v>60.0</v>
      </c>
      <c r="I169" s="7">
        <v>68.0</v>
      </c>
      <c r="J169" s="7">
        <f t="shared" si="1"/>
        <v>60</v>
      </c>
      <c r="K169" s="7">
        <v>10.0</v>
      </c>
      <c r="L169" s="7"/>
      <c r="M169" s="7">
        <f t="shared" si="2"/>
        <v>10</v>
      </c>
      <c r="N169" s="7">
        <v>10.0</v>
      </c>
      <c r="O169" s="7"/>
      <c r="P169" s="7">
        <f t="shared" si="3"/>
        <v>10</v>
      </c>
      <c r="Q169" s="7">
        <v>10.0</v>
      </c>
      <c r="R169" s="7"/>
      <c r="S169" s="7">
        <f t="shared" si="4"/>
        <v>10</v>
      </c>
      <c r="T169" s="7">
        <v>10.0</v>
      </c>
      <c r="U169" s="7"/>
      <c r="V169" s="7">
        <f t="shared" si="5"/>
        <v>10</v>
      </c>
      <c r="W169" s="7">
        <v>10.0</v>
      </c>
      <c r="X169" s="7"/>
      <c r="Y169" s="7">
        <f t="shared" si="6"/>
        <v>10</v>
      </c>
      <c r="Z169" s="7">
        <v>10.0</v>
      </c>
      <c r="AA169" s="7"/>
      <c r="AB169" s="7">
        <f t="shared" si="7"/>
        <v>10</v>
      </c>
      <c r="AC169" s="7">
        <v>0.0</v>
      </c>
      <c r="AD169" s="7"/>
      <c r="AE169" s="7">
        <f t="shared" si="8"/>
        <v>0</v>
      </c>
      <c r="AF169" s="7">
        <v>39.0</v>
      </c>
      <c r="AG169" s="7">
        <v>60.0</v>
      </c>
      <c r="AH169" s="7">
        <v>80.0</v>
      </c>
      <c r="AI169" s="11">
        <v>0.0</v>
      </c>
    </row>
    <row r="170" ht="30.0" customHeight="1">
      <c r="A170" s="7">
        <v>168.0</v>
      </c>
      <c r="B170" s="7">
        <v>4.7240726E7</v>
      </c>
      <c r="C170" s="7">
        <v>24.0</v>
      </c>
      <c r="D170" s="7">
        <v>70.0</v>
      </c>
      <c r="E170" s="8" t="s">
        <v>338</v>
      </c>
      <c r="F170" s="9" t="s">
        <v>339</v>
      </c>
      <c r="G170" s="7" t="s">
        <v>27</v>
      </c>
      <c r="H170" s="7">
        <v>15.0</v>
      </c>
      <c r="I170" s="7">
        <v>15.0</v>
      </c>
      <c r="J170" s="7">
        <f t="shared" si="1"/>
        <v>15</v>
      </c>
      <c r="K170" s="7">
        <v>4.0</v>
      </c>
      <c r="L170" s="7"/>
      <c r="M170" s="7">
        <f t="shared" si="2"/>
        <v>4</v>
      </c>
      <c r="N170" s="7">
        <v>3.0</v>
      </c>
      <c r="O170" s="7"/>
      <c r="P170" s="7">
        <f t="shared" si="3"/>
        <v>3</v>
      </c>
      <c r="Q170" s="7">
        <v>8.0</v>
      </c>
      <c r="R170" s="7"/>
      <c r="S170" s="7">
        <f t="shared" si="4"/>
        <v>8</v>
      </c>
      <c r="T170" s="7">
        <v>0.0</v>
      </c>
      <c r="U170" s="7"/>
      <c r="V170" s="7">
        <f t="shared" si="5"/>
        <v>0</v>
      </c>
      <c r="W170" s="7">
        <v>0.0</v>
      </c>
      <c r="X170" s="7"/>
      <c r="Y170" s="7">
        <f t="shared" si="6"/>
        <v>0</v>
      </c>
      <c r="Z170" s="7">
        <v>0.0</v>
      </c>
      <c r="AA170" s="7"/>
      <c r="AB170" s="7">
        <f t="shared" si="7"/>
        <v>0</v>
      </c>
      <c r="AC170" s="7">
        <v>0.0</v>
      </c>
      <c r="AD170" s="7"/>
      <c r="AE170" s="7">
        <f t="shared" si="8"/>
        <v>0</v>
      </c>
      <c r="AF170" s="10"/>
      <c r="AG170" s="10"/>
      <c r="AH170" s="10"/>
      <c r="AI170" s="10"/>
    </row>
    <row r="171" ht="30.0" customHeight="1">
      <c r="A171" s="7">
        <v>169.0</v>
      </c>
      <c r="B171" s="7">
        <v>4.7241433E7</v>
      </c>
      <c r="C171" s="7">
        <v>24.0</v>
      </c>
      <c r="D171" s="7">
        <v>70.0</v>
      </c>
      <c r="E171" s="8" t="s">
        <v>340</v>
      </c>
      <c r="F171" s="9" t="s">
        <v>340</v>
      </c>
      <c r="G171" s="7" t="s">
        <v>27</v>
      </c>
      <c r="H171" s="7">
        <v>10.0</v>
      </c>
      <c r="I171" s="7">
        <v>12.0</v>
      </c>
      <c r="J171" s="7">
        <f t="shared" si="1"/>
        <v>9</v>
      </c>
      <c r="K171" s="7">
        <v>0.0</v>
      </c>
      <c r="L171" s="7"/>
      <c r="M171" s="7">
        <f t="shared" si="2"/>
        <v>0</v>
      </c>
      <c r="N171" s="7">
        <v>0.0</v>
      </c>
      <c r="O171" s="7"/>
      <c r="P171" s="7">
        <f t="shared" si="3"/>
        <v>0</v>
      </c>
      <c r="Q171" s="7">
        <v>9.0</v>
      </c>
      <c r="R171" s="7"/>
      <c r="S171" s="7">
        <f t="shared" si="4"/>
        <v>9</v>
      </c>
      <c r="T171" s="7">
        <v>0.0</v>
      </c>
      <c r="U171" s="7"/>
      <c r="V171" s="7">
        <f t="shared" si="5"/>
        <v>0</v>
      </c>
      <c r="W171" s="7">
        <v>0.0</v>
      </c>
      <c r="X171" s="7"/>
      <c r="Y171" s="7">
        <f t="shared" si="6"/>
        <v>0</v>
      </c>
      <c r="Z171" s="7">
        <v>0.0</v>
      </c>
      <c r="AA171" s="7"/>
      <c r="AB171" s="7">
        <f t="shared" si="7"/>
        <v>0</v>
      </c>
      <c r="AC171" s="7">
        <v>0.0</v>
      </c>
      <c r="AD171" s="7"/>
      <c r="AE171" s="7">
        <f t="shared" si="8"/>
        <v>0</v>
      </c>
      <c r="AF171" s="10"/>
      <c r="AG171" s="10"/>
      <c r="AH171" s="10"/>
      <c r="AI171" s="10"/>
    </row>
    <row r="172" ht="30.0" customHeight="1">
      <c r="A172" s="7">
        <v>170.0</v>
      </c>
      <c r="B172" s="7">
        <v>4.7420339E7</v>
      </c>
      <c r="C172" s="7">
        <v>23.0</v>
      </c>
      <c r="D172" s="7">
        <v>10.0</v>
      </c>
      <c r="E172" s="8" t="s">
        <v>341</v>
      </c>
      <c r="F172" s="9" t="s">
        <v>342</v>
      </c>
      <c r="G172" s="7" t="s">
        <v>27</v>
      </c>
      <c r="H172" s="7">
        <v>100.0</v>
      </c>
      <c r="I172" s="7">
        <v>25.0</v>
      </c>
      <c r="J172" s="7">
        <f t="shared" si="1"/>
        <v>100</v>
      </c>
      <c r="K172" s="7">
        <v>15.0</v>
      </c>
      <c r="L172" s="7"/>
      <c r="M172" s="7">
        <f t="shared" si="2"/>
        <v>15</v>
      </c>
      <c r="N172" s="7">
        <v>20.0</v>
      </c>
      <c r="O172" s="7"/>
      <c r="P172" s="7">
        <f t="shared" si="3"/>
        <v>20</v>
      </c>
      <c r="Q172" s="7">
        <v>20.0</v>
      </c>
      <c r="R172" s="7"/>
      <c r="S172" s="7">
        <f t="shared" si="4"/>
        <v>20</v>
      </c>
      <c r="T172" s="7">
        <v>15.0</v>
      </c>
      <c r="U172" s="7"/>
      <c r="V172" s="7">
        <f t="shared" si="5"/>
        <v>15</v>
      </c>
      <c r="W172" s="7">
        <v>15.0</v>
      </c>
      <c r="X172" s="7"/>
      <c r="Y172" s="7">
        <f t="shared" si="6"/>
        <v>15</v>
      </c>
      <c r="Z172" s="7">
        <v>15.0</v>
      </c>
      <c r="AA172" s="7"/>
      <c r="AB172" s="7">
        <f t="shared" si="7"/>
        <v>15</v>
      </c>
      <c r="AC172" s="7">
        <v>0.0</v>
      </c>
      <c r="AD172" s="7"/>
      <c r="AE172" s="7">
        <f t="shared" si="8"/>
        <v>0</v>
      </c>
      <c r="AF172" s="10"/>
      <c r="AG172" s="10"/>
      <c r="AH172" s="10"/>
      <c r="AI172" s="10"/>
    </row>
    <row r="173" ht="30.0" customHeight="1">
      <c r="A173" s="7">
        <v>171.0</v>
      </c>
      <c r="B173" s="7">
        <v>4.2020116E7</v>
      </c>
      <c r="C173" s="7">
        <v>23.0</v>
      </c>
      <c r="D173" s="7">
        <v>10.0</v>
      </c>
      <c r="E173" s="8" t="s">
        <v>343</v>
      </c>
      <c r="F173" s="9" t="s">
        <v>344</v>
      </c>
      <c r="G173" s="7" t="s">
        <v>27</v>
      </c>
      <c r="H173" s="7">
        <v>240.0</v>
      </c>
      <c r="I173" s="7">
        <v>90.0</v>
      </c>
      <c r="J173" s="7">
        <f t="shared" si="1"/>
        <v>240</v>
      </c>
      <c r="K173" s="7">
        <v>15.0</v>
      </c>
      <c r="L173" s="7"/>
      <c r="M173" s="7">
        <f t="shared" si="2"/>
        <v>15</v>
      </c>
      <c r="N173" s="7">
        <v>90.0</v>
      </c>
      <c r="O173" s="7"/>
      <c r="P173" s="7">
        <f t="shared" si="3"/>
        <v>90</v>
      </c>
      <c r="Q173" s="7">
        <v>0.0</v>
      </c>
      <c r="R173" s="7"/>
      <c r="S173" s="7">
        <f t="shared" si="4"/>
        <v>0</v>
      </c>
      <c r="T173" s="7">
        <v>50.0</v>
      </c>
      <c r="U173" s="7"/>
      <c r="V173" s="7">
        <f t="shared" si="5"/>
        <v>50</v>
      </c>
      <c r="W173" s="7">
        <v>50.0</v>
      </c>
      <c r="X173" s="7"/>
      <c r="Y173" s="7">
        <f t="shared" si="6"/>
        <v>50</v>
      </c>
      <c r="Z173" s="7">
        <v>35.0</v>
      </c>
      <c r="AA173" s="7"/>
      <c r="AB173" s="7">
        <f t="shared" si="7"/>
        <v>35</v>
      </c>
      <c r="AC173" s="7">
        <v>0.0</v>
      </c>
      <c r="AD173" s="7"/>
      <c r="AE173" s="7">
        <f t="shared" si="8"/>
        <v>0</v>
      </c>
      <c r="AF173" s="7">
        <v>132.0</v>
      </c>
      <c r="AG173" s="7">
        <v>230.0</v>
      </c>
      <c r="AH173" s="7">
        <v>589.0</v>
      </c>
      <c r="AI173" s="11">
        <v>0.0</v>
      </c>
    </row>
    <row r="174" ht="30.0" customHeight="1">
      <c r="A174" s="7">
        <v>172.0</v>
      </c>
      <c r="B174" s="7">
        <v>4.2020128E7</v>
      </c>
      <c r="C174" s="7">
        <v>23.0</v>
      </c>
      <c r="D174" s="7">
        <v>10.0</v>
      </c>
      <c r="E174" s="8" t="s">
        <v>345</v>
      </c>
      <c r="F174" s="9" t="s">
        <v>346</v>
      </c>
      <c r="G174" s="7" t="s">
        <v>27</v>
      </c>
      <c r="H174" s="7">
        <v>300.0</v>
      </c>
      <c r="I174" s="7">
        <v>313.0</v>
      </c>
      <c r="J174" s="7">
        <f t="shared" si="1"/>
        <v>300</v>
      </c>
      <c r="K174" s="7">
        <v>50.0</v>
      </c>
      <c r="L174" s="7"/>
      <c r="M174" s="7">
        <f t="shared" si="2"/>
        <v>50</v>
      </c>
      <c r="N174" s="7">
        <v>100.0</v>
      </c>
      <c r="O174" s="7"/>
      <c r="P174" s="7">
        <f t="shared" si="3"/>
        <v>100</v>
      </c>
      <c r="Q174" s="7">
        <v>60.0</v>
      </c>
      <c r="R174" s="7"/>
      <c r="S174" s="7">
        <f t="shared" si="4"/>
        <v>60</v>
      </c>
      <c r="T174" s="7">
        <v>30.0</v>
      </c>
      <c r="U174" s="7"/>
      <c r="V174" s="7">
        <f t="shared" si="5"/>
        <v>30</v>
      </c>
      <c r="W174" s="7">
        <v>30.0</v>
      </c>
      <c r="X174" s="7"/>
      <c r="Y174" s="7">
        <f t="shared" si="6"/>
        <v>30</v>
      </c>
      <c r="Z174" s="7">
        <v>30.0</v>
      </c>
      <c r="AA174" s="7"/>
      <c r="AB174" s="7">
        <f t="shared" si="7"/>
        <v>30</v>
      </c>
      <c r="AC174" s="7">
        <v>0.0</v>
      </c>
      <c r="AD174" s="7"/>
      <c r="AE174" s="7">
        <f t="shared" si="8"/>
        <v>0</v>
      </c>
      <c r="AF174" s="7">
        <v>100.0</v>
      </c>
      <c r="AG174" s="7">
        <v>368.0</v>
      </c>
      <c r="AH174" s="7">
        <v>337.0</v>
      </c>
      <c r="AI174" s="11">
        <v>0.0</v>
      </c>
    </row>
    <row r="175" ht="30.0" customHeight="1">
      <c r="A175" s="7">
        <v>173.0</v>
      </c>
      <c r="B175" s="7">
        <v>4.2027391E7</v>
      </c>
      <c r="C175" s="7">
        <v>23.0</v>
      </c>
      <c r="D175" s="7">
        <v>10.0</v>
      </c>
      <c r="E175" s="8" t="s">
        <v>347</v>
      </c>
      <c r="F175" s="9" t="s">
        <v>348</v>
      </c>
      <c r="G175" s="7" t="s">
        <v>27</v>
      </c>
      <c r="H175" s="7">
        <v>24.0</v>
      </c>
      <c r="I175" s="7">
        <v>38.0</v>
      </c>
      <c r="J175" s="7">
        <f t="shared" si="1"/>
        <v>24</v>
      </c>
      <c r="K175" s="7">
        <v>8.0</v>
      </c>
      <c r="L175" s="7"/>
      <c r="M175" s="7">
        <f t="shared" si="2"/>
        <v>8</v>
      </c>
      <c r="N175" s="7">
        <v>4.0</v>
      </c>
      <c r="O175" s="7"/>
      <c r="P175" s="7">
        <f t="shared" si="3"/>
        <v>4</v>
      </c>
      <c r="Q175" s="7">
        <v>6.0</v>
      </c>
      <c r="R175" s="7"/>
      <c r="S175" s="7">
        <f t="shared" si="4"/>
        <v>6</v>
      </c>
      <c r="T175" s="7">
        <v>2.0</v>
      </c>
      <c r="U175" s="7"/>
      <c r="V175" s="7">
        <f t="shared" si="5"/>
        <v>2</v>
      </c>
      <c r="W175" s="7">
        <v>2.0</v>
      </c>
      <c r="X175" s="7"/>
      <c r="Y175" s="7">
        <f t="shared" si="6"/>
        <v>2</v>
      </c>
      <c r="Z175" s="7">
        <v>2.0</v>
      </c>
      <c r="AA175" s="7"/>
      <c r="AB175" s="7">
        <f t="shared" si="7"/>
        <v>2</v>
      </c>
      <c r="AC175" s="7">
        <v>0.0</v>
      </c>
      <c r="AD175" s="7"/>
      <c r="AE175" s="7">
        <f t="shared" si="8"/>
        <v>0</v>
      </c>
      <c r="AF175" s="10"/>
      <c r="AG175" s="10"/>
      <c r="AH175" s="10"/>
      <c r="AI175" s="10"/>
    </row>
    <row r="176" ht="30.0" customHeight="1">
      <c r="A176" s="7">
        <v>174.0</v>
      </c>
      <c r="B176" s="7">
        <v>4.2060096E7</v>
      </c>
      <c r="C176" s="7">
        <v>23.0</v>
      </c>
      <c r="D176" s="7">
        <v>70.0</v>
      </c>
      <c r="E176" s="8" t="s">
        <v>349</v>
      </c>
      <c r="F176" s="9" t="s">
        <v>350</v>
      </c>
      <c r="G176" s="7" t="s">
        <v>27</v>
      </c>
      <c r="H176" s="7">
        <v>15.0</v>
      </c>
      <c r="I176" s="11">
        <v>0.0</v>
      </c>
      <c r="J176" s="7">
        <f t="shared" si="1"/>
        <v>6</v>
      </c>
      <c r="K176" s="7">
        <v>6.0</v>
      </c>
      <c r="L176" s="7"/>
      <c r="M176" s="7">
        <f t="shared" si="2"/>
        <v>6</v>
      </c>
      <c r="N176" s="7">
        <v>0.0</v>
      </c>
      <c r="O176" s="7"/>
      <c r="P176" s="7">
        <f t="shared" si="3"/>
        <v>0</v>
      </c>
      <c r="Q176" s="7">
        <v>0.0</v>
      </c>
      <c r="R176" s="7"/>
      <c r="S176" s="7">
        <f t="shared" si="4"/>
        <v>0</v>
      </c>
      <c r="T176" s="7">
        <v>0.0</v>
      </c>
      <c r="U176" s="7"/>
      <c r="V176" s="7">
        <f t="shared" si="5"/>
        <v>0</v>
      </c>
      <c r="W176" s="7">
        <v>0.0</v>
      </c>
      <c r="X176" s="7"/>
      <c r="Y176" s="7">
        <f t="shared" si="6"/>
        <v>0</v>
      </c>
      <c r="Z176" s="7">
        <v>0.0</v>
      </c>
      <c r="AA176" s="7"/>
      <c r="AB176" s="7">
        <f t="shared" si="7"/>
        <v>0</v>
      </c>
      <c r="AC176" s="7">
        <v>0.0</v>
      </c>
      <c r="AD176" s="7"/>
      <c r="AE176" s="7">
        <f t="shared" si="8"/>
        <v>0</v>
      </c>
      <c r="AF176" s="10"/>
      <c r="AG176" s="10"/>
      <c r="AH176" s="10"/>
      <c r="AI176" s="10"/>
    </row>
    <row r="177" ht="30.0" customHeight="1">
      <c r="A177" s="7">
        <v>175.0</v>
      </c>
      <c r="B177" s="7">
        <v>4.7420479E7</v>
      </c>
      <c r="C177" s="7">
        <v>24.0</v>
      </c>
      <c r="D177" s="7">
        <v>10.0</v>
      </c>
      <c r="E177" s="8" t="s">
        <v>351</v>
      </c>
      <c r="F177" s="9" t="s">
        <v>352</v>
      </c>
      <c r="G177" s="7" t="s">
        <v>27</v>
      </c>
      <c r="H177" s="7">
        <v>60.0</v>
      </c>
      <c r="I177" s="7">
        <v>104.0</v>
      </c>
      <c r="J177" s="7">
        <f t="shared" si="1"/>
        <v>60</v>
      </c>
      <c r="K177" s="7">
        <v>10.0</v>
      </c>
      <c r="L177" s="7"/>
      <c r="M177" s="7">
        <f t="shared" si="2"/>
        <v>10</v>
      </c>
      <c r="N177" s="7">
        <v>10.0</v>
      </c>
      <c r="O177" s="7"/>
      <c r="P177" s="7">
        <f t="shared" si="3"/>
        <v>10</v>
      </c>
      <c r="Q177" s="7">
        <v>10.0</v>
      </c>
      <c r="R177" s="7"/>
      <c r="S177" s="7">
        <f t="shared" si="4"/>
        <v>10</v>
      </c>
      <c r="T177" s="7">
        <v>10.0</v>
      </c>
      <c r="U177" s="7"/>
      <c r="V177" s="7">
        <f t="shared" si="5"/>
        <v>10</v>
      </c>
      <c r="W177" s="7">
        <v>10.0</v>
      </c>
      <c r="X177" s="7"/>
      <c r="Y177" s="7">
        <f t="shared" si="6"/>
        <v>10</v>
      </c>
      <c r="Z177" s="7">
        <v>10.0</v>
      </c>
      <c r="AA177" s="7"/>
      <c r="AB177" s="7">
        <f t="shared" si="7"/>
        <v>10</v>
      </c>
      <c r="AC177" s="7">
        <v>0.0</v>
      </c>
      <c r="AD177" s="7"/>
      <c r="AE177" s="7">
        <f t="shared" si="8"/>
        <v>0</v>
      </c>
      <c r="AF177" s="10"/>
      <c r="AG177" s="10"/>
      <c r="AH177" s="10"/>
      <c r="AI177" s="10"/>
    </row>
    <row r="178" ht="30.0" customHeight="1">
      <c r="A178" s="7">
        <v>176.0</v>
      </c>
      <c r="B178" s="7">
        <v>4.742034E7</v>
      </c>
      <c r="C178" s="7">
        <v>23.0</v>
      </c>
      <c r="D178" s="7">
        <v>10.0</v>
      </c>
      <c r="E178" s="8" t="s">
        <v>353</v>
      </c>
      <c r="F178" s="9" t="s">
        <v>354</v>
      </c>
      <c r="G178" s="7" t="s">
        <v>27</v>
      </c>
      <c r="H178" s="7">
        <v>120.0</v>
      </c>
      <c r="I178" s="7">
        <v>68.0</v>
      </c>
      <c r="J178" s="7">
        <f t="shared" si="1"/>
        <v>120</v>
      </c>
      <c r="K178" s="7">
        <v>20.0</v>
      </c>
      <c r="L178" s="7"/>
      <c r="M178" s="7">
        <f t="shared" si="2"/>
        <v>20</v>
      </c>
      <c r="N178" s="7">
        <v>20.0</v>
      </c>
      <c r="O178" s="7"/>
      <c r="P178" s="7">
        <f t="shared" si="3"/>
        <v>20</v>
      </c>
      <c r="Q178" s="7">
        <v>20.0</v>
      </c>
      <c r="R178" s="7"/>
      <c r="S178" s="7">
        <f t="shared" si="4"/>
        <v>20</v>
      </c>
      <c r="T178" s="7">
        <v>20.0</v>
      </c>
      <c r="U178" s="7"/>
      <c r="V178" s="7">
        <f t="shared" si="5"/>
        <v>20</v>
      </c>
      <c r="W178" s="7">
        <v>20.0</v>
      </c>
      <c r="X178" s="7"/>
      <c r="Y178" s="7">
        <f t="shared" si="6"/>
        <v>20</v>
      </c>
      <c r="Z178" s="7">
        <v>20.0</v>
      </c>
      <c r="AA178" s="7"/>
      <c r="AB178" s="7">
        <f t="shared" si="7"/>
        <v>20</v>
      </c>
      <c r="AC178" s="7">
        <v>0.0</v>
      </c>
      <c r="AD178" s="7"/>
      <c r="AE178" s="7">
        <f t="shared" si="8"/>
        <v>0</v>
      </c>
      <c r="AF178" s="10"/>
      <c r="AG178" s="10"/>
      <c r="AH178" s="10"/>
      <c r="AI178" s="10"/>
    </row>
    <row r="179" ht="30.0" customHeight="1">
      <c r="A179" s="7">
        <v>177.0</v>
      </c>
      <c r="B179" s="7">
        <v>4.2060084E7</v>
      </c>
      <c r="C179" s="7">
        <v>23.0</v>
      </c>
      <c r="D179" s="7">
        <v>10.0</v>
      </c>
      <c r="E179" s="8" t="s">
        <v>355</v>
      </c>
      <c r="F179" s="9" t="s">
        <v>356</v>
      </c>
      <c r="G179" s="7" t="s">
        <v>27</v>
      </c>
      <c r="H179" s="7">
        <v>100.0</v>
      </c>
      <c r="I179" s="7">
        <v>129.0</v>
      </c>
      <c r="J179" s="7">
        <f t="shared" si="1"/>
        <v>90</v>
      </c>
      <c r="K179" s="7">
        <v>20.0</v>
      </c>
      <c r="L179" s="7"/>
      <c r="M179" s="7">
        <f t="shared" si="2"/>
        <v>20</v>
      </c>
      <c r="N179" s="7">
        <v>20.0</v>
      </c>
      <c r="O179" s="7"/>
      <c r="P179" s="7">
        <f t="shared" si="3"/>
        <v>20</v>
      </c>
      <c r="Q179" s="7">
        <v>20.0</v>
      </c>
      <c r="R179" s="7"/>
      <c r="S179" s="7">
        <f t="shared" si="4"/>
        <v>20</v>
      </c>
      <c r="T179" s="7">
        <v>10.0</v>
      </c>
      <c r="U179" s="7"/>
      <c r="V179" s="7">
        <f t="shared" si="5"/>
        <v>10</v>
      </c>
      <c r="W179" s="7">
        <v>10.0</v>
      </c>
      <c r="X179" s="7"/>
      <c r="Y179" s="7">
        <f t="shared" si="6"/>
        <v>10</v>
      </c>
      <c r="Z179" s="7">
        <v>10.0</v>
      </c>
      <c r="AA179" s="7"/>
      <c r="AB179" s="7">
        <f t="shared" si="7"/>
        <v>10</v>
      </c>
      <c r="AC179" s="7">
        <v>0.0</v>
      </c>
      <c r="AD179" s="7"/>
      <c r="AE179" s="7">
        <f t="shared" si="8"/>
        <v>0</v>
      </c>
      <c r="AF179" s="10"/>
      <c r="AG179" s="10"/>
      <c r="AH179" s="10"/>
      <c r="AI179" s="10"/>
    </row>
    <row r="180" ht="30.0" customHeight="1">
      <c r="A180" s="7">
        <v>178.0</v>
      </c>
      <c r="B180" s="7">
        <v>4.2060072E7</v>
      </c>
      <c r="C180" s="7">
        <v>23.0</v>
      </c>
      <c r="D180" s="7">
        <v>10.0</v>
      </c>
      <c r="E180" s="8" t="s">
        <v>357</v>
      </c>
      <c r="F180" s="9" t="s">
        <v>358</v>
      </c>
      <c r="G180" s="7" t="s">
        <v>27</v>
      </c>
      <c r="H180" s="7">
        <v>200.0</v>
      </c>
      <c r="I180" s="7">
        <v>31.0</v>
      </c>
      <c r="J180" s="7">
        <f t="shared" si="1"/>
        <v>145</v>
      </c>
      <c r="K180" s="7">
        <v>20.0</v>
      </c>
      <c r="L180" s="7"/>
      <c r="M180" s="7">
        <f t="shared" si="2"/>
        <v>20</v>
      </c>
      <c r="N180" s="7">
        <v>50.0</v>
      </c>
      <c r="O180" s="7"/>
      <c r="P180" s="7">
        <f t="shared" si="3"/>
        <v>50</v>
      </c>
      <c r="Q180" s="7">
        <v>75.0</v>
      </c>
      <c r="R180" s="7"/>
      <c r="S180" s="7">
        <f t="shared" si="4"/>
        <v>75</v>
      </c>
      <c r="T180" s="7">
        <v>0.0</v>
      </c>
      <c r="U180" s="7"/>
      <c r="V180" s="7">
        <f t="shared" si="5"/>
        <v>0</v>
      </c>
      <c r="W180" s="7">
        <v>0.0</v>
      </c>
      <c r="X180" s="7"/>
      <c r="Y180" s="7">
        <f t="shared" si="6"/>
        <v>0</v>
      </c>
      <c r="Z180" s="7">
        <v>0.0</v>
      </c>
      <c r="AA180" s="7"/>
      <c r="AB180" s="7">
        <f t="shared" si="7"/>
        <v>0</v>
      </c>
      <c r="AC180" s="7">
        <v>0.0</v>
      </c>
      <c r="AD180" s="7"/>
      <c r="AE180" s="7">
        <f t="shared" si="8"/>
        <v>0</v>
      </c>
      <c r="AF180" s="10"/>
      <c r="AG180" s="10"/>
      <c r="AH180" s="10"/>
      <c r="AI180" s="10"/>
    </row>
    <row r="181" ht="30.0" customHeight="1">
      <c r="A181" s="7">
        <v>179.0</v>
      </c>
      <c r="B181" s="7">
        <v>4.290103E7</v>
      </c>
      <c r="C181" s="7">
        <v>23.0</v>
      </c>
      <c r="D181" s="7">
        <v>70.0</v>
      </c>
      <c r="E181" s="8" t="s">
        <v>359</v>
      </c>
      <c r="F181" s="9" t="s">
        <v>360</v>
      </c>
      <c r="G181" s="7" t="s">
        <v>27</v>
      </c>
      <c r="H181" s="7">
        <v>10.0</v>
      </c>
      <c r="I181" s="7">
        <v>125.0</v>
      </c>
      <c r="J181" s="7">
        <f t="shared" si="1"/>
        <v>10</v>
      </c>
      <c r="K181" s="7">
        <v>0.0</v>
      </c>
      <c r="L181" s="7"/>
      <c r="M181" s="7">
        <f t="shared" si="2"/>
        <v>0</v>
      </c>
      <c r="N181" s="7">
        <v>2.0</v>
      </c>
      <c r="O181" s="7"/>
      <c r="P181" s="7">
        <f t="shared" si="3"/>
        <v>2</v>
      </c>
      <c r="Q181" s="7">
        <v>2.0</v>
      </c>
      <c r="R181" s="7"/>
      <c r="S181" s="7">
        <f t="shared" si="4"/>
        <v>2</v>
      </c>
      <c r="T181" s="7">
        <v>2.0</v>
      </c>
      <c r="U181" s="7"/>
      <c r="V181" s="7">
        <f t="shared" si="5"/>
        <v>2</v>
      </c>
      <c r="W181" s="7">
        <v>2.0</v>
      </c>
      <c r="X181" s="7"/>
      <c r="Y181" s="7">
        <f t="shared" si="6"/>
        <v>2</v>
      </c>
      <c r="Z181" s="7">
        <v>2.0</v>
      </c>
      <c r="AA181" s="7"/>
      <c r="AB181" s="7">
        <f t="shared" si="7"/>
        <v>2</v>
      </c>
      <c r="AC181" s="7">
        <v>0.0</v>
      </c>
      <c r="AD181" s="7"/>
      <c r="AE181" s="7">
        <f t="shared" si="8"/>
        <v>0</v>
      </c>
      <c r="AF181" s="10"/>
      <c r="AG181" s="10"/>
      <c r="AH181" s="10"/>
      <c r="AI181" s="10"/>
    </row>
    <row r="182" ht="30.0" customHeight="1">
      <c r="A182" s="7">
        <v>180.0</v>
      </c>
      <c r="B182" s="7">
        <v>7.3641819E7</v>
      </c>
      <c r="C182" s="7">
        <v>23.0</v>
      </c>
      <c r="D182" s="7">
        <v>10.0</v>
      </c>
      <c r="E182" s="8" t="s">
        <v>361</v>
      </c>
      <c r="F182" s="9" t="s">
        <v>362</v>
      </c>
      <c r="G182" s="7" t="s">
        <v>27</v>
      </c>
      <c r="H182" s="7">
        <v>2000.0</v>
      </c>
      <c r="I182" s="7">
        <v>2307.0</v>
      </c>
      <c r="J182" s="7">
        <f t="shared" si="1"/>
        <v>2000</v>
      </c>
      <c r="K182" s="7">
        <v>300.0</v>
      </c>
      <c r="L182" s="7"/>
      <c r="M182" s="7">
        <f t="shared" si="2"/>
        <v>300</v>
      </c>
      <c r="N182" s="7">
        <v>800.0</v>
      </c>
      <c r="O182" s="7"/>
      <c r="P182" s="7">
        <f t="shared" si="3"/>
        <v>800</v>
      </c>
      <c r="Q182" s="7">
        <v>300.0</v>
      </c>
      <c r="R182" s="7"/>
      <c r="S182" s="7">
        <f t="shared" si="4"/>
        <v>300</v>
      </c>
      <c r="T182" s="7">
        <v>250.0</v>
      </c>
      <c r="U182" s="7"/>
      <c r="V182" s="7">
        <f t="shared" si="5"/>
        <v>250</v>
      </c>
      <c r="W182" s="7">
        <v>250.0</v>
      </c>
      <c r="X182" s="7"/>
      <c r="Y182" s="7">
        <f t="shared" si="6"/>
        <v>250</v>
      </c>
      <c r="Z182" s="7">
        <v>100.0</v>
      </c>
      <c r="AA182" s="7"/>
      <c r="AB182" s="7">
        <f t="shared" si="7"/>
        <v>100</v>
      </c>
      <c r="AC182" s="7">
        <v>0.0</v>
      </c>
      <c r="AD182" s="7"/>
      <c r="AE182" s="7">
        <f t="shared" si="8"/>
        <v>0</v>
      </c>
      <c r="AF182" s="10"/>
      <c r="AG182" s="10"/>
      <c r="AH182" s="10"/>
      <c r="AI182" s="10"/>
    </row>
    <row r="183" ht="30.0" customHeight="1">
      <c r="A183" s="7">
        <v>181.0</v>
      </c>
      <c r="B183" s="7">
        <v>4.7241573E7</v>
      </c>
      <c r="C183" s="7">
        <v>24.0</v>
      </c>
      <c r="D183" s="7">
        <v>10.0</v>
      </c>
      <c r="E183" s="8" t="s">
        <v>363</v>
      </c>
      <c r="F183" s="9" t="s">
        <v>364</v>
      </c>
      <c r="G183" s="7" t="s">
        <v>27</v>
      </c>
      <c r="H183" s="7">
        <v>72.0</v>
      </c>
      <c r="I183" s="7">
        <v>38.0</v>
      </c>
      <c r="J183" s="7">
        <f t="shared" si="1"/>
        <v>72</v>
      </c>
      <c r="K183" s="7">
        <v>12.0</v>
      </c>
      <c r="L183" s="7"/>
      <c r="M183" s="7">
        <f t="shared" si="2"/>
        <v>12</v>
      </c>
      <c r="N183" s="7">
        <v>24.0</v>
      </c>
      <c r="O183" s="7"/>
      <c r="P183" s="7">
        <f t="shared" si="3"/>
        <v>24</v>
      </c>
      <c r="Q183" s="7">
        <v>0.0</v>
      </c>
      <c r="R183" s="7"/>
      <c r="S183" s="7">
        <f t="shared" si="4"/>
        <v>0</v>
      </c>
      <c r="T183" s="7">
        <v>12.0</v>
      </c>
      <c r="U183" s="7"/>
      <c r="V183" s="7">
        <f t="shared" si="5"/>
        <v>12</v>
      </c>
      <c r="W183" s="7">
        <v>12.0</v>
      </c>
      <c r="X183" s="7"/>
      <c r="Y183" s="7">
        <f t="shared" si="6"/>
        <v>12</v>
      </c>
      <c r="Z183" s="7">
        <v>12.0</v>
      </c>
      <c r="AA183" s="7"/>
      <c r="AB183" s="7">
        <f t="shared" si="7"/>
        <v>12</v>
      </c>
      <c r="AC183" s="7">
        <v>0.0</v>
      </c>
      <c r="AD183" s="7"/>
      <c r="AE183" s="7">
        <f t="shared" si="8"/>
        <v>0</v>
      </c>
      <c r="AF183" s="7">
        <v>48.0</v>
      </c>
      <c r="AG183" s="7">
        <v>71.0</v>
      </c>
      <c r="AH183" s="7">
        <v>71.0</v>
      </c>
      <c r="AI183" s="11">
        <v>0.0</v>
      </c>
    </row>
    <row r="184" ht="30.0" customHeight="1">
      <c r="A184" s="7">
        <v>182.0</v>
      </c>
      <c r="B184" s="7">
        <v>4.206006E7</v>
      </c>
      <c r="C184" s="7">
        <v>24.0</v>
      </c>
      <c r="D184" s="7">
        <v>70.0</v>
      </c>
      <c r="E184" s="8" t="s">
        <v>365</v>
      </c>
      <c r="F184" s="9" t="s">
        <v>366</v>
      </c>
      <c r="G184" s="7" t="s">
        <v>27</v>
      </c>
      <c r="H184" s="7">
        <v>4.0</v>
      </c>
      <c r="I184" s="11">
        <v>0.0</v>
      </c>
      <c r="J184" s="7">
        <f t="shared" si="1"/>
        <v>2</v>
      </c>
      <c r="K184" s="7">
        <v>2.0</v>
      </c>
      <c r="L184" s="7"/>
      <c r="M184" s="7">
        <f t="shared" si="2"/>
        <v>2</v>
      </c>
      <c r="N184" s="7">
        <v>0.0</v>
      </c>
      <c r="O184" s="7"/>
      <c r="P184" s="7">
        <f t="shared" si="3"/>
        <v>0</v>
      </c>
      <c r="Q184" s="7">
        <v>0.0</v>
      </c>
      <c r="R184" s="7"/>
      <c r="S184" s="7">
        <f t="shared" si="4"/>
        <v>0</v>
      </c>
      <c r="T184" s="7">
        <v>0.0</v>
      </c>
      <c r="U184" s="7"/>
      <c r="V184" s="7">
        <f t="shared" si="5"/>
        <v>0</v>
      </c>
      <c r="W184" s="7">
        <v>0.0</v>
      </c>
      <c r="X184" s="7"/>
      <c r="Y184" s="7">
        <f t="shared" si="6"/>
        <v>0</v>
      </c>
      <c r="Z184" s="7">
        <v>0.0</v>
      </c>
      <c r="AA184" s="7"/>
      <c r="AB184" s="7">
        <f t="shared" si="7"/>
        <v>0</v>
      </c>
      <c r="AC184" s="7">
        <v>0.0</v>
      </c>
      <c r="AD184" s="7"/>
      <c r="AE184" s="7">
        <f t="shared" si="8"/>
        <v>0</v>
      </c>
      <c r="AF184" s="11">
        <v>0.0</v>
      </c>
      <c r="AG184" s="7">
        <v>3.0</v>
      </c>
      <c r="AH184" s="11">
        <v>0.0</v>
      </c>
      <c r="AI184" s="11">
        <v>0.0</v>
      </c>
    </row>
    <row r="185" ht="30.0" customHeight="1">
      <c r="A185" s="7">
        <v>183.0</v>
      </c>
      <c r="B185" s="7">
        <v>4.2060059E7</v>
      </c>
      <c r="C185" s="7">
        <v>24.0</v>
      </c>
      <c r="D185" s="7">
        <v>70.0</v>
      </c>
      <c r="E185" s="8" t="s">
        <v>367</v>
      </c>
      <c r="F185" s="9" t="s">
        <v>368</v>
      </c>
      <c r="G185" s="7" t="s">
        <v>27</v>
      </c>
      <c r="H185" s="7">
        <v>3.0</v>
      </c>
      <c r="I185" s="7">
        <v>4.0</v>
      </c>
      <c r="J185" s="7">
        <f t="shared" si="1"/>
        <v>2</v>
      </c>
      <c r="K185" s="7">
        <v>2.0</v>
      </c>
      <c r="L185" s="7"/>
      <c r="M185" s="7">
        <f t="shared" si="2"/>
        <v>2</v>
      </c>
      <c r="N185" s="7">
        <v>0.0</v>
      </c>
      <c r="O185" s="7"/>
      <c r="P185" s="7">
        <f t="shared" si="3"/>
        <v>0</v>
      </c>
      <c r="Q185" s="7">
        <v>0.0</v>
      </c>
      <c r="R185" s="7"/>
      <c r="S185" s="7">
        <f t="shared" si="4"/>
        <v>0</v>
      </c>
      <c r="T185" s="7">
        <v>0.0</v>
      </c>
      <c r="U185" s="7"/>
      <c r="V185" s="7">
        <f t="shared" si="5"/>
        <v>0</v>
      </c>
      <c r="W185" s="7">
        <v>0.0</v>
      </c>
      <c r="X185" s="7"/>
      <c r="Y185" s="7">
        <f t="shared" si="6"/>
        <v>0</v>
      </c>
      <c r="Z185" s="7">
        <v>0.0</v>
      </c>
      <c r="AA185" s="7"/>
      <c r="AB185" s="7">
        <f t="shared" si="7"/>
        <v>0</v>
      </c>
      <c r="AC185" s="7">
        <v>0.0</v>
      </c>
      <c r="AD185" s="7"/>
      <c r="AE185" s="7">
        <f t="shared" si="8"/>
        <v>0</v>
      </c>
      <c r="AF185" s="11">
        <v>0.0</v>
      </c>
      <c r="AG185" s="7">
        <v>3.0</v>
      </c>
      <c r="AH185" s="7">
        <v>1.0</v>
      </c>
      <c r="AI185" s="11">
        <v>0.0</v>
      </c>
    </row>
    <row r="186" ht="30.0" customHeight="1">
      <c r="A186" s="7">
        <v>184.0</v>
      </c>
      <c r="B186" s="7">
        <v>4.2022095E7</v>
      </c>
      <c r="C186" s="7">
        <v>24.0</v>
      </c>
      <c r="D186" s="7">
        <v>70.0</v>
      </c>
      <c r="E186" s="8" t="s">
        <v>369</v>
      </c>
      <c r="F186" s="9" t="s">
        <v>370</v>
      </c>
      <c r="G186" s="7" t="s">
        <v>27</v>
      </c>
      <c r="H186" s="7">
        <v>10.0</v>
      </c>
      <c r="I186" s="7">
        <v>5.0</v>
      </c>
      <c r="J186" s="7">
        <f t="shared" si="1"/>
        <v>5</v>
      </c>
      <c r="K186" s="7">
        <v>5.0</v>
      </c>
      <c r="L186" s="7"/>
      <c r="M186" s="7">
        <f t="shared" si="2"/>
        <v>5</v>
      </c>
      <c r="N186" s="7">
        <v>0.0</v>
      </c>
      <c r="O186" s="7"/>
      <c r="P186" s="7">
        <f t="shared" si="3"/>
        <v>0</v>
      </c>
      <c r="Q186" s="7">
        <v>0.0</v>
      </c>
      <c r="R186" s="7"/>
      <c r="S186" s="7">
        <f t="shared" si="4"/>
        <v>0</v>
      </c>
      <c r="T186" s="7">
        <v>0.0</v>
      </c>
      <c r="U186" s="7"/>
      <c r="V186" s="7">
        <f t="shared" si="5"/>
        <v>0</v>
      </c>
      <c r="W186" s="7">
        <v>0.0</v>
      </c>
      <c r="X186" s="7"/>
      <c r="Y186" s="7">
        <f t="shared" si="6"/>
        <v>0</v>
      </c>
      <c r="Z186" s="7">
        <v>0.0</v>
      </c>
      <c r="AA186" s="7"/>
      <c r="AB186" s="7">
        <f t="shared" si="7"/>
        <v>0</v>
      </c>
      <c r="AC186" s="7">
        <v>0.0</v>
      </c>
      <c r="AD186" s="7"/>
      <c r="AE186" s="7">
        <f t="shared" si="8"/>
        <v>0</v>
      </c>
      <c r="AF186" s="10"/>
      <c r="AG186" s="10"/>
      <c r="AH186" s="10"/>
      <c r="AI186" s="10"/>
    </row>
    <row r="187" ht="30.0" customHeight="1">
      <c r="A187" s="7">
        <v>185.0</v>
      </c>
      <c r="B187" s="7">
        <v>4.7241202E7</v>
      </c>
      <c r="C187" s="7">
        <v>23.0</v>
      </c>
      <c r="D187" s="7">
        <v>10.0</v>
      </c>
      <c r="E187" s="8" t="s">
        <v>371</v>
      </c>
      <c r="F187" s="9" t="s">
        <v>371</v>
      </c>
      <c r="G187" s="7" t="s">
        <v>27</v>
      </c>
      <c r="H187" s="7">
        <v>20.0</v>
      </c>
      <c r="I187" s="7">
        <v>89.0</v>
      </c>
      <c r="J187" s="7">
        <f t="shared" si="1"/>
        <v>18</v>
      </c>
      <c r="K187" s="7">
        <v>4.0</v>
      </c>
      <c r="L187" s="7"/>
      <c r="M187" s="7">
        <f t="shared" si="2"/>
        <v>4</v>
      </c>
      <c r="N187" s="7">
        <v>4.0</v>
      </c>
      <c r="O187" s="7"/>
      <c r="P187" s="7">
        <f t="shared" si="3"/>
        <v>4</v>
      </c>
      <c r="Q187" s="7">
        <v>4.0</v>
      </c>
      <c r="R187" s="7"/>
      <c r="S187" s="7">
        <f t="shared" si="4"/>
        <v>4</v>
      </c>
      <c r="T187" s="7">
        <v>2.0</v>
      </c>
      <c r="U187" s="7"/>
      <c r="V187" s="7">
        <f t="shared" si="5"/>
        <v>2</v>
      </c>
      <c r="W187" s="7">
        <v>2.0</v>
      </c>
      <c r="X187" s="7"/>
      <c r="Y187" s="7">
        <f t="shared" si="6"/>
        <v>2</v>
      </c>
      <c r="Z187" s="7">
        <v>2.0</v>
      </c>
      <c r="AA187" s="7"/>
      <c r="AB187" s="7">
        <f t="shared" si="7"/>
        <v>2</v>
      </c>
      <c r="AC187" s="7">
        <v>0.0</v>
      </c>
      <c r="AD187" s="7"/>
      <c r="AE187" s="7">
        <f t="shared" si="8"/>
        <v>0</v>
      </c>
      <c r="AF187" s="10"/>
      <c r="AG187" s="10"/>
      <c r="AH187" s="10"/>
      <c r="AI187" s="10"/>
    </row>
    <row r="188" ht="30.0" customHeight="1">
      <c r="A188" s="7">
        <v>186.0</v>
      </c>
      <c r="B188" s="7">
        <v>4.324001E7</v>
      </c>
      <c r="C188" s="7">
        <v>24.0</v>
      </c>
      <c r="D188" s="7">
        <v>70.0</v>
      </c>
      <c r="E188" s="8" t="s">
        <v>372</v>
      </c>
      <c r="F188" s="9" t="s">
        <v>373</v>
      </c>
      <c r="G188" s="7" t="s">
        <v>27</v>
      </c>
      <c r="H188" s="7">
        <v>60.0</v>
      </c>
      <c r="I188" s="7">
        <v>1.0</v>
      </c>
      <c r="J188" s="7">
        <f t="shared" si="1"/>
        <v>60</v>
      </c>
      <c r="K188" s="7">
        <v>10.0</v>
      </c>
      <c r="L188" s="7"/>
      <c r="M188" s="7">
        <f t="shared" si="2"/>
        <v>10</v>
      </c>
      <c r="N188" s="7">
        <v>10.0</v>
      </c>
      <c r="O188" s="7"/>
      <c r="P188" s="7">
        <f t="shared" si="3"/>
        <v>10</v>
      </c>
      <c r="Q188" s="7">
        <v>10.0</v>
      </c>
      <c r="R188" s="7"/>
      <c r="S188" s="7">
        <f t="shared" si="4"/>
        <v>10</v>
      </c>
      <c r="T188" s="7">
        <v>10.0</v>
      </c>
      <c r="U188" s="7"/>
      <c r="V188" s="7">
        <f t="shared" si="5"/>
        <v>10</v>
      </c>
      <c r="W188" s="7">
        <v>10.0</v>
      </c>
      <c r="X188" s="7"/>
      <c r="Y188" s="7">
        <f t="shared" si="6"/>
        <v>10</v>
      </c>
      <c r="Z188" s="7">
        <v>10.0</v>
      </c>
      <c r="AA188" s="7"/>
      <c r="AB188" s="7">
        <f t="shared" si="7"/>
        <v>10</v>
      </c>
      <c r="AC188" s="7">
        <v>0.0</v>
      </c>
      <c r="AD188" s="7"/>
      <c r="AE188" s="7">
        <f t="shared" si="8"/>
        <v>0</v>
      </c>
      <c r="AF188" s="10"/>
      <c r="AG188" s="10"/>
      <c r="AH188" s="10"/>
      <c r="AI188" s="10"/>
    </row>
    <row r="189" ht="30.0" customHeight="1">
      <c r="A189" s="7">
        <v>187.0</v>
      </c>
      <c r="B189" s="7">
        <v>4.724141E7</v>
      </c>
      <c r="C189" s="7">
        <v>24.0</v>
      </c>
      <c r="D189" s="7">
        <v>70.0</v>
      </c>
      <c r="E189" s="8" t="s">
        <v>374</v>
      </c>
      <c r="F189" s="9" t="s">
        <v>374</v>
      </c>
      <c r="G189" s="7" t="s">
        <v>27</v>
      </c>
      <c r="H189" s="7">
        <v>48.0</v>
      </c>
      <c r="I189" s="7">
        <v>41.0</v>
      </c>
      <c r="J189" s="7">
        <f t="shared" si="1"/>
        <v>45</v>
      </c>
      <c r="K189" s="7">
        <v>10.0</v>
      </c>
      <c r="L189" s="7"/>
      <c r="M189" s="7">
        <f t="shared" si="2"/>
        <v>10</v>
      </c>
      <c r="N189" s="7">
        <v>10.0</v>
      </c>
      <c r="O189" s="7"/>
      <c r="P189" s="7">
        <f t="shared" si="3"/>
        <v>10</v>
      </c>
      <c r="Q189" s="7">
        <v>10.0</v>
      </c>
      <c r="R189" s="7"/>
      <c r="S189" s="7">
        <f t="shared" si="4"/>
        <v>10</v>
      </c>
      <c r="T189" s="7">
        <v>5.0</v>
      </c>
      <c r="U189" s="7"/>
      <c r="V189" s="7">
        <f t="shared" si="5"/>
        <v>5</v>
      </c>
      <c r="W189" s="7">
        <v>5.0</v>
      </c>
      <c r="X189" s="7"/>
      <c r="Y189" s="7">
        <f t="shared" si="6"/>
        <v>5</v>
      </c>
      <c r="Z189" s="7">
        <v>5.0</v>
      </c>
      <c r="AA189" s="7"/>
      <c r="AB189" s="7">
        <f t="shared" si="7"/>
        <v>5</v>
      </c>
      <c r="AC189" s="7">
        <v>0.0</v>
      </c>
      <c r="AD189" s="7"/>
      <c r="AE189" s="7">
        <f t="shared" si="8"/>
        <v>0</v>
      </c>
      <c r="AF189" s="10"/>
      <c r="AG189" s="10"/>
      <c r="AH189" s="10"/>
      <c r="AI189" s="10"/>
    </row>
    <row r="190" ht="30.0" customHeight="1">
      <c r="A190" s="7">
        <v>188.0</v>
      </c>
      <c r="B190" s="7">
        <v>4.7241238E7</v>
      </c>
      <c r="C190" s="7">
        <v>23.0</v>
      </c>
      <c r="D190" s="7">
        <v>10.0</v>
      </c>
      <c r="E190" s="8" t="s">
        <v>375</v>
      </c>
      <c r="F190" s="9" t="s">
        <v>376</v>
      </c>
      <c r="G190" s="7" t="s">
        <v>27</v>
      </c>
      <c r="H190" s="7">
        <v>200.0</v>
      </c>
      <c r="I190" s="7">
        <v>440.0</v>
      </c>
      <c r="J190" s="7">
        <f t="shared" si="1"/>
        <v>195</v>
      </c>
      <c r="K190" s="7">
        <v>50.0</v>
      </c>
      <c r="L190" s="7"/>
      <c r="M190" s="7">
        <f t="shared" si="2"/>
        <v>50</v>
      </c>
      <c r="N190" s="7">
        <v>50.0</v>
      </c>
      <c r="O190" s="7"/>
      <c r="P190" s="7">
        <f t="shared" si="3"/>
        <v>50</v>
      </c>
      <c r="Q190" s="7">
        <v>50.0</v>
      </c>
      <c r="R190" s="7"/>
      <c r="S190" s="7">
        <f t="shared" si="4"/>
        <v>50</v>
      </c>
      <c r="T190" s="7">
        <v>15.0</v>
      </c>
      <c r="U190" s="7"/>
      <c r="V190" s="7">
        <f t="shared" si="5"/>
        <v>15</v>
      </c>
      <c r="W190" s="7">
        <v>15.0</v>
      </c>
      <c r="X190" s="7"/>
      <c r="Y190" s="7">
        <f t="shared" si="6"/>
        <v>15</v>
      </c>
      <c r="Z190" s="7">
        <v>15.0</v>
      </c>
      <c r="AA190" s="7"/>
      <c r="AB190" s="7">
        <f t="shared" si="7"/>
        <v>15</v>
      </c>
      <c r="AC190" s="7">
        <v>0.0</v>
      </c>
      <c r="AD190" s="7"/>
      <c r="AE190" s="7">
        <f t="shared" si="8"/>
        <v>0</v>
      </c>
      <c r="AF190" s="10"/>
      <c r="AG190" s="10"/>
      <c r="AH190" s="10"/>
      <c r="AI190" s="10"/>
    </row>
    <row r="191" ht="30.0" customHeight="1">
      <c r="A191" s="7">
        <v>189.0</v>
      </c>
      <c r="B191" s="7">
        <v>4.7241214E7</v>
      </c>
      <c r="C191" s="7">
        <v>23.0</v>
      </c>
      <c r="D191" s="7">
        <v>10.0</v>
      </c>
      <c r="E191" s="8" t="s">
        <v>377</v>
      </c>
      <c r="F191" s="9" t="s">
        <v>378</v>
      </c>
      <c r="G191" s="7" t="s">
        <v>27</v>
      </c>
      <c r="H191" s="7">
        <v>48.0</v>
      </c>
      <c r="I191" s="7">
        <v>55.0</v>
      </c>
      <c r="J191" s="7">
        <f t="shared" si="1"/>
        <v>48</v>
      </c>
      <c r="K191" s="7">
        <v>10.0</v>
      </c>
      <c r="L191" s="7"/>
      <c r="M191" s="7">
        <f t="shared" si="2"/>
        <v>10</v>
      </c>
      <c r="N191" s="7">
        <v>10.0</v>
      </c>
      <c r="O191" s="7"/>
      <c r="P191" s="7">
        <f t="shared" si="3"/>
        <v>10</v>
      </c>
      <c r="Q191" s="7">
        <v>10.0</v>
      </c>
      <c r="R191" s="7"/>
      <c r="S191" s="7">
        <f t="shared" si="4"/>
        <v>10</v>
      </c>
      <c r="T191" s="7">
        <v>6.0</v>
      </c>
      <c r="U191" s="7"/>
      <c r="V191" s="7">
        <f t="shared" si="5"/>
        <v>6</v>
      </c>
      <c r="W191" s="7">
        <v>6.0</v>
      </c>
      <c r="X191" s="7"/>
      <c r="Y191" s="7">
        <f t="shared" si="6"/>
        <v>6</v>
      </c>
      <c r="Z191" s="7">
        <v>6.0</v>
      </c>
      <c r="AA191" s="7"/>
      <c r="AB191" s="7">
        <f t="shared" si="7"/>
        <v>6</v>
      </c>
      <c r="AC191" s="7">
        <v>0.0</v>
      </c>
      <c r="AD191" s="7"/>
      <c r="AE191" s="7">
        <f t="shared" si="8"/>
        <v>0</v>
      </c>
      <c r="AF191" s="10"/>
      <c r="AG191" s="10"/>
      <c r="AH191" s="10"/>
      <c r="AI191" s="10"/>
    </row>
    <row r="192" ht="30.0" customHeight="1">
      <c r="A192" s="7">
        <v>190.0</v>
      </c>
      <c r="B192" s="7">
        <v>4.7241226E7</v>
      </c>
      <c r="C192" s="7">
        <v>23.0</v>
      </c>
      <c r="D192" s="7">
        <v>10.0</v>
      </c>
      <c r="E192" s="8" t="s">
        <v>379</v>
      </c>
      <c r="F192" s="9" t="s">
        <v>380</v>
      </c>
      <c r="G192" s="7" t="s">
        <v>27</v>
      </c>
      <c r="H192" s="7">
        <v>30.0</v>
      </c>
      <c r="I192" s="7">
        <v>47.0</v>
      </c>
      <c r="J192" s="7">
        <f t="shared" si="1"/>
        <v>30</v>
      </c>
      <c r="K192" s="7">
        <v>20.0</v>
      </c>
      <c r="L192" s="7"/>
      <c r="M192" s="7">
        <f t="shared" si="2"/>
        <v>20</v>
      </c>
      <c r="N192" s="7">
        <v>0.0</v>
      </c>
      <c r="O192" s="7"/>
      <c r="P192" s="7">
        <f t="shared" si="3"/>
        <v>0</v>
      </c>
      <c r="Q192" s="7">
        <v>0.0</v>
      </c>
      <c r="R192" s="7"/>
      <c r="S192" s="7">
        <f t="shared" si="4"/>
        <v>0</v>
      </c>
      <c r="T192" s="7">
        <v>0.0</v>
      </c>
      <c r="U192" s="7"/>
      <c r="V192" s="7">
        <f t="shared" si="5"/>
        <v>0</v>
      </c>
      <c r="W192" s="7">
        <v>0.0</v>
      </c>
      <c r="X192" s="7"/>
      <c r="Y192" s="7">
        <f t="shared" si="6"/>
        <v>0</v>
      </c>
      <c r="Z192" s="7">
        <v>10.0</v>
      </c>
      <c r="AA192" s="7"/>
      <c r="AB192" s="7">
        <f t="shared" si="7"/>
        <v>10</v>
      </c>
      <c r="AC192" s="7">
        <v>0.0</v>
      </c>
      <c r="AD192" s="7"/>
      <c r="AE192" s="7">
        <f t="shared" si="8"/>
        <v>0</v>
      </c>
      <c r="AF192" s="10"/>
      <c r="AG192" s="10"/>
      <c r="AH192" s="10"/>
      <c r="AI192" s="10"/>
    </row>
    <row r="193" ht="30.0" customHeight="1">
      <c r="A193" s="7">
        <v>191.0</v>
      </c>
      <c r="B193" s="7">
        <v>4.3900045E7</v>
      </c>
      <c r="C193" s="7">
        <v>24.0</v>
      </c>
      <c r="D193" s="7">
        <v>70.0</v>
      </c>
      <c r="E193" s="8" t="s">
        <v>381</v>
      </c>
      <c r="F193" s="9" t="s">
        <v>382</v>
      </c>
      <c r="G193" s="7" t="s">
        <v>27</v>
      </c>
      <c r="H193" s="7">
        <v>20.0</v>
      </c>
      <c r="I193" s="11">
        <v>0.0</v>
      </c>
      <c r="J193" s="7">
        <f t="shared" si="1"/>
        <v>20</v>
      </c>
      <c r="K193" s="7">
        <v>5.0</v>
      </c>
      <c r="L193" s="7"/>
      <c r="M193" s="7">
        <f t="shared" si="2"/>
        <v>5</v>
      </c>
      <c r="N193" s="7">
        <v>5.0</v>
      </c>
      <c r="O193" s="7"/>
      <c r="P193" s="7">
        <f t="shared" si="3"/>
        <v>5</v>
      </c>
      <c r="Q193" s="7">
        <v>0.0</v>
      </c>
      <c r="R193" s="7"/>
      <c r="S193" s="7">
        <f t="shared" si="4"/>
        <v>0</v>
      </c>
      <c r="T193" s="7">
        <v>0.0</v>
      </c>
      <c r="U193" s="7"/>
      <c r="V193" s="7">
        <f t="shared" si="5"/>
        <v>0</v>
      </c>
      <c r="W193" s="7">
        <v>0.0</v>
      </c>
      <c r="X193" s="7"/>
      <c r="Y193" s="7">
        <f t="shared" si="6"/>
        <v>0</v>
      </c>
      <c r="Z193" s="7">
        <v>10.0</v>
      </c>
      <c r="AA193" s="7"/>
      <c r="AB193" s="7">
        <f t="shared" si="7"/>
        <v>10</v>
      </c>
      <c r="AC193" s="7">
        <v>0.0</v>
      </c>
      <c r="AD193" s="7"/>
      <c r="AE193" s="7">
        <f t="shared" si="8"/>
        <v>0</v>
      </c>
      <c r="AF193" s="10"/>
      <c r="AG193" s="10"/>
      <c r="AH193" s="10"/>
      <c r="AI193" s="10"/>
    </row>
    <row r="194" ht="30.0" customHeight="1">
      <c r="A194" s="7">
        <v>192.0</v>
      </c>
      <c r="B194" s="7">
        <v>4.724124E7</v>
      </c>
      <c r="C194" s="7">
        <v>23.0</v>
      </c>
      <c r="D194" s="7">
        <v>10.0</v>
      </c>
      <c r="E194" s="8" t="s">
        <v>383</v>
      </c>
      <c r="F194" s="9" t="s">
        <v>384</v>
      </c>
      <c r="G194" s="7" t="s">
        <v>27</v>
      </c>
      <c r="H194" s="7">
        <v>25.0</v>
      </c>
      <c r="I194" s="7">
        <v>30.0</v>
      </c>
      <c r="J194" s="7">
        <f t="shared" si="1"/>
        <v>20</v>
      </c>
      <c r="K194" s="7">
        <v>5.0</v>
      </c>
      <c r="L194" s="7"/>
      <c r="M194" s="7">
        <f t="shared" si="2"/>
        <v>5</v>
      </c>
      <c r="N194" s="7">
        <v>5.0</v>
      </c>
      <c r="O194" s="7"/>
      <c r="P194" s="7">
        <f t="shared" si="3"/>
        <v>5</v>
      </c>
      <c r="Q194" s="7">
        <v>5.0</v>
      </c>
      <c r="R194" s="7"/>
      <c r="S194" s="7">
        <f t="shared" si="4"/>
        <v>5</v>
      </c>
      <c r="T194" s="7">
        <v>0.0</v>
      </c>
      <c r="U194" s="7"/>
      <c r="V194" s="7">
        <f t="shared" si="5"/>
        <v>0</v>
      </c>
      <c r="W194" s="7">
        <v>0.0</v>
      </c>
      <c r="X194" s="7"/>
      <c r="Y194" s="7">
        <f t="shared" si="6"/>
        <v>0</v>
      </c>
      <c r="Z194" s="7">
        <v>5.0</v>
      </c>
      <c r="AA194" s="7"/>
      <c r="AB194" s="7">
        <f t="shared" si="7"/>
        <v>5</v>
      </c>
      <c r="AC194" s="7">
        <v>0.0</v>
      </c>
      <c r="AD194" s="7"/>
      <c r="AE194" s="7">
        <f t="shared" si="8"/>
        <v>0</v>
      </c>
      <c r="AF194" s="10"/>
      <c r="AG194" s="10"/>
      <c r="AH194" s="10"/>
      <c r="AI194" s="10"/>
    </row>
    <row r="195" ht="30.0" customHeight="1">
      <c r="A195" s="7">
        <v>193.0</v>
      </c>
      <c r="B195" s="7">
        <v>4.7241196E7</v>
      </c>
      <c r="C195" s="7">
        <v>23.0</v>
      </c>
      <c r="D195" s="7">
        <v>10.0</v>
      </c>
      <c r="E195" s="8" t="s">
        <v>385</v>
      </c>
      <c r="F195" s="9" t="s">
        <v>386</v>
      </c>
      <c r="G195" s="7" t="s">
        <v>27</v>
      </c>
      <c r="H195" s="7">
        <v>100.0</v>
      </c>
      <c r="I195" s="7">
        <v>64.0</v>
      </c>
      <c r="J195" s="7">
        <f t="shared" si="1"/>
        <v>100</v>
      </c>
      <c r="K195" s="7">
        <v>5.0</v>
      </c>
      <c r="L195" s="7"/>
      <c r="M195" s="7">
        <f t="shared" si="2"/>
        <v>5</v>
      </c>
      <c r="N195" s="7">
        <v>0.0</v>
      </c>
      <c r="O195" s="7"/>
      <c r="P195" s="7">
        <f t="shared" si="3"/>
        <v>0</v>
      </c>
      <c r="Q195" s="7">
        <v>20.0</v>
      </c>
      <c r="R195" s="7"/>
      <c r="S195" s="7">
        <f t="shared" si="4"/>
        <v>20</v>
      </c>
      <c r="T195" s="7">
        <v>25.0</v>
      </c>
      <c r="U195" s="7"/>
      <c r="V195" s="7">
        <f t="shared" si="5"/>
        <v>25</v>
      </c>
      <c r="W195" s="7">
        <v>25.0</v>
      </c>
      <c r="X195" s="7"/>
      <c r="Y195" s="7">
        <f t="shared" si="6"/>
        <v>25</v>
      </c>
      <c r="Z195" s="7">
        <v>25.0</v>
      </c>
      <c r="AA195" s="7"/>
      <c r="AB195" s="7">
        <f t="shared" si="7"/>
        <v>25</v>
      </c>
      <c r="AC195" s="7">
        <v>0.0</v>
      </c>
      <c r="AD195" s="7"/>
      <c r="AE195" s="7">
        <f t="shared" si="8"/>
        <v>0</v>
      </c>
      <c r="AF195" s="10"/>
      <c r="AG195" s="10"/>
      <c r="AH195" s="10"/>
      <c r="AI195" s="10"/>
    </row>
    <row r="196" ht="30.0" customHeight="1">
      <c r="A196" s="7">
        <v>194.0</v>
      </c>
      <c r="B196" s="7">
        <v>4.7241263E7</v>
      </c>
      <c r="C196" s="7">
        <v>23.0</v>
      </c>
      <c r="D196" s="7">
        <v>10.0</v>
      </c>
      <c r="E196" s="8" t="s">
        <v>387</v>
      </c>
      <c r="F196" s="9" t="s">
        <v>388</v>
      </c>
      <c r="G196" s="7" t="s">
        <v>27</v>
      </c>
      <c r="H196" s="7">
        <v>75.0</v>
      </c>
      <c r="I196" s="7">
        <v>102.0</v>
      </c>
      <c r="J196" s="7">
        <f t="shared" si="1"/>
        <v>75</v>
      </c>
      <c r="K196" s="7">
        <v>10.0</v>
      </c>
      <c r="L196" s="7"/>
      <c r="M196" s="7">
        <f t="shared" si="2"/>
        <v>10</v>
      </c>
      <c r="N196" s="7">
        <v>10.0</v>
      </c>
      <c r="O196" s="7"/>
      <c r="P196" s="7">
        <f t="shared" si="3"/>
        <v>10</v>
      </c>
      <c r="Q196" s="7">
        <v>10.0</v>
      </c>
      <c r="R196" s="7"/>
      <c r="S196" s="7">
        <f t="shared" si="4"/>
        <v>10</v>
      </c>
      <c r="T196" s="7">
        <v>15.0</v>
      </c>
      <c r="U196" s="7"/>
      <c r="V196" s="7">
        <f t="shared" si="5"/>
        <v>15</v>
      </c>
      <c r="W196" s="7">
        <v>15.0</v>
      </c>
      <c r="X196" s="7"/>
      <c r="Y196" s="7">
        <f t="shared" si="6"/>
        <v>15</v>
      </c>
      <c r="Z196" s="7">
        <v>15.0</v>
      </c>
      <c r="AA196" s="7"/>
      <c r="AB196" s="7">
        <f t="shared" si="7"/>
        <v>15</v>
      </c>
      <c r="AC196" s="7">
        <v>0.0</v>
      </c>
      <c r="AD196" s="7"/>
      <c r="AE196" s="7">
        <f t="shared" si="8"/>
        <v>0</v>
      </c>
      <c r="AF196" s="10"/>
      <c r="AG196" s="10"/>
      <c r="AH196" s="10"/>
      <c r="AI196" s="10"/>
    </row>
    <row r="197" ht="30.0" customHeight="1">
      <c r="A197" s="7">
        <v>195.0</v>
      </c>
      <c r="B197" s="7">
        <v>4.7241251E7</v>
      </c>
      <c r="C197" s="7">
        <v>23.0</v>
      </c>
      <c r="D197" s="7">
        <v>10.0</v>
      </c>
      <c r="E197" s="8" t="s">
        <v>389</v>
      </c>
      <c r="F197" s="9" t="s">
        <v>390</v>
      </c>
      <c r="G197" s="7" t="s">
        <v>27</v>
      </c>
      <c r="H197" s="7">
        <v>100.0</v>
      </c>
      <c r="I197" s="7">
        <v>87.0</v>
      </c>
      <c r="J197" s="7">
        <f t="shared" si="1"/>
        <v>90</v>
      </c>
      <c r="K197" s="7">
        <v>20.0</v>
      </c>
      <c r="L197" s="7"/>
      <c r="M197" s="7">
        <f t="shared" si="2"/>
        <v>20</v>
      </c>
      <c r="N197" s="7">
        <v>20.0</v>
      </c>
      <c r="O197" s="7"/>
      <c r="P197" s="7">
        <f t="shared" si="3"/>
        <v>20</v>
      </c>
      <c r="Q197" s="7">
        <v>20.0</v>
      </c>
      <c r="R197" s="7"/>
      <c r="S197" s="7">
        <f t="shared" si="4"/>
        <v>20</v>
      </c>
      <c r="T197" s="7">
        <v>10.0</v>
      </c>
      <c r="U197" s="7"/>
      <c r="V197" s="7">
        <f t="shared" si="5"/>
        <v>10</v>
      </c>
      <c r="W197" s="7">
        <v>10.0</v>
      </c>
      <c r="X197" s="7"/>
      <c r="Y197" s="7">
        <f t="shared" si="6"/>
        <v>10</v>
      </c>
      <c r="Z197" s="7">
        <v>10.0</v>
      </c>
      <c r="AA197" s="7"/>
      <c r="AB197" s="7">
        <f t="shared" si="7"/>
        <v>10</v>
      </c>
      <c r="AC197" s="7">
        <v>0.0</v>
      </c>
      <c r="AD197" s="7"/>
      <c r="AE197" s="7">
        <f t="shared" si="8"/>
        <v>0</v>
      </c>
      <c r="AF197" s="7">
        <v>137.0</v>
      </c>
      <c r="AG197" s="7">
        <v>49.0</v>
      </c>
      <c r="AH197" s="7">
        <v>146.0</v>
      </c>
      <c r="AI197" s="11">
        <v>0.0</v>
      </c>
    </row>
    <row r="198" ht="30.0" customHeight="1">
      <c r="A198" s="7">
        <v>196.0</v>
      </c>
      <c r="B198" s="7">
        <v>4.7241184E7</v>
      </c>
      <c r="C198" s="7">
        <v>23.0</v>
      </c>
      <c r="D198" s="7">
        <v>10.0</v>
      </c>
      <c r="E198" s="8" t="s">
        <v>391</v>
      </c>
      <c r="F198" s="9" t="s">
        <v>392</v>
      </c>
      <c r="G198" s="7" t="s">
        <v>27</v>
      </c>
      <c r="H198" s="7">
        <v>100.0</v>
      </c>
      <c r="I198" s="7">
        <v>189.0</v>
      </c>
      <c r="J198" s="7">
        <f t="shared" si="1"/>
        <v>90</v>
      </c>
      <c r="K198" s="7">
        <v>10.0</v>
      </c>
      <c r="L198" s="7"/>
      <c r="M198" s="7">
        <f t="shared" si="2"/>
        <v>10</v>
      </c>
      <c r="N198" s="7">
        <v>25.0</v>
      </c>
      <c r="O198" s="7"/>
      <c r="P198" s="7">
        <f t="shared" si="3"/>
        <v>25</v>
      </c>
      <c r="Q198" s="7">
        <v>25.0</v>
      </c>
      <c r="R198" s="7"/>
      <c r="S198" s="7">
        <f t="shared" si="4"/>
        <v>25</v>
      </c>
      <c r="T198" s="7">
        <v>10.0</v>
      </c>
      <c r="U198" s="7"/>
      <c r="V198" s="7">
        <f t="shared" si="5"/>
        <v>10</v>
      </c>
      <c r="W198" s="7">
        <v>10.0</v>
      </c>
      <c r="X198" s="7"/>
      <c r="Y198" s="7">
        <f t="shared" si="6"/>
        <v>10</v>
      </c>
      <c r="Z198" s="7">
        <v>10.0</v>
      </c>
      <c r="AA198" s="7"/>
      <c r="AB198" s="7">
        <f t="shared" si="7"/>
        <v>10</v>
      </c>
      <c r="AC198" s="7">
        <v>0.0</v>
      </c>
      <c r="AD198" s="7"/>
      <c r="AE198" s="7">
        <f t="shared" si="8"/>
        <v>0</v>
      </c>
      <c r="AF198" s="10"/>
      <c r="AG198" s="10"/>
      <c r="AH198" s="10"/>
      <c r="AI198" s="10"/>
    </row>
    <row r="199" ht="30.0" customHeight="1">
      <c r="A199" s="7">
        <v>197.0</v>
      </c>
      <c r="B199" s="7">
        <v>4.7241172E7</v>
      </c>
      <c r="C199" s="7">
        <v>23.0</v>
      </c>
      <c r="D199" s="7">
        <v>10.0</v>
      </c>
      <c r="E199" s="8" t="s">
        <v>393</v>
      </c>
      <c r="F199" s="9" t="s">
        <v>394</v>
      </c>
      <c r="G199" s="7" t="s">
        <v>27</v>
      </c>
      <c r="H199" s="7">
        <v>24.0</v>
      </c>
      <c r="I199" s="7">
        <v>4.0</v>
      </c>
      <c r="J199" s="7">
        <f t="shared" si="1"/>
        <v>24</v>
      </c>
      <c r="K199" s="7">
        <v>7.0</v>
      </c>
      <c r="L199" s="7"/>
      <c r="M199" s="7">
        <f t="shared" si="2"/>
        <v>7</v>
      </c>
      <c r="N199" s="7">
        <v>10.0</v>
      </c>
      <c r="O199" s="7"/>
      <c r="P199" s="7">
        <f t="shared" si="3"/>
        <v>10</v>
      </c>
      <c r="Q199" s="7">
        <v>7.0</v>
      </c>
      <c r="R199" s="7"/>
      <c r="S199" s="7">
        <f t="shared" si="4"/>
        <v>7</v>
      </c>
      <c r="T199" s="7">
        <v>0.0</v>
      </c>
      <c r="U199" s="7"/>
      <c r="V199" s="7">
        <f t="shared" si="5"/>
        <v>0</v>
      </c>
      <c r="W199" s="7">
        <v>0.0</v>
      </c>
      <c r="X199" s="7"/>
      <c r="Y199" s="7">
        <f t="shared" si="6"/>
        <v>0</v>
      </c>
      <c r="Z199" s="7">
        <v>0.0</v>
      </c>
      <c r="AA199" s="7"/>
      <c r="AB199" s="7">
        <f t="shared" si="7"/>
        <v>0</v>
      </c>
      <c r="AC199" s="7">
        <v>0.0</v>
      </c>
      <c r="AD199" s="7"/>
      <c r="AE199" s="7">
        <f t="shared" si="8"/>
        <v>0</v>
      </c>
      <c r="AF199" s="10"/>
      <c r="AG199" s="10"/>
      <c r="AH199" s="10"/>
      <c r="AI199" s="10"/>
    </row>
    <row r="200" ht="30.0" customHeight="1">
      <c r="A200" s="7">
        <v>198.0</v>
      </c>
      <c r="B200" s="7">
        <v>4.2116648E7</v>
      </c>
      <c r="C200" s="7">
        <v>24.0</v>
      </c>
      <c r="D200" s="7">
        <v>70.0</v>
      </c>
      <c r="E200" s="8" t="s">
        <v>395</v>
      </c>
      <c r="F200" s="9" t="s">
        <v>396</v>
      </c>
      <c r="G200" s="7" t="s">
        <v>27</v>
      </c>
      <c r="H200" s="7">
        <v>50.0</v>
      </c>
      <c r="I200" s="7">
        <v>75.0</v>
      </c>
      <c r="J200" s="7">
        <f t="shared" si="1"/>
        <v>0</v>
      </c>
      <c r="K200" s="7">
        <v>0.0</v>
      </c>
      <c r="L200" s="7"/>
      <c r="M200" s="7">
        <f t="shared" si="2"/>
        <v>0</v>
      </c>
      <c r="N200" s="7">
        <v>0.0</v>
      </c>
      <c r="O200" s="7"/>
      <c r="P200" s="7">
        <f t="shared" si="3"/>
        <v>0</v>
      </c>
      <c r="Q200" s="7">
        <v>0.0</v>
      </c>
      <c r="R200" s="7"/>
      <c r="S200" s="7">
        <f t="shared" si="4"/>
        <v>0</v>
      </c>
      <c r="T200" s="7">
        <v>0.0</v>
      </c>
      <c r="U200" s="7"/>
      <c r="V200" s="7">
        <f t="shared" si="5"/>
        <v>0</v>
      </c>
      <c r="W200" s="7">
        <v>0.0</v>
      </c>
      <c r="X200" s="7"/>
      <c r="Y200" s="7">
        <f t="shared" si="6"/>
        <v>0</v>
      </c>
      <c r="Z200" s="7">
        <v>0.0</v>
      </c>
      <c r="AA200" s="7"/>
      <c r="AB200" s="7">
        <f t="shared" si="7"/>
        <v>0</v>
      </c>
      <c r="AC200" s="7">
        <v>0.0</v>
      </c>
      <c r="AD200" s="7"/>
      <c r="AE200" s="7">
        <f t="shared" si="8"/>
        <v>0</v>
      </c>
      <c r="AF200" s="10"/>
      <c r="AG200" s="10"/>
      <c r="AH200" s="10"/>
      <c r="AI200" s="10"/>
    </row>
    <row r="201" ht="30.0" customHeight="1">
      <c r="A201" s="7">
        <v>199.0</v>
      </c>
      <c r="B201" s="7">
        <v>4.2113234E7</v>
      </c>
      <c r="C201" s="7">
        <v>23.0</v>
      </c>
      <c r="D201" s="7">
        <v>10.0</v>
      </c>
      <c r="E201" s="8" t="s">
        <v>397</v>
      </c>
      <c r="F201" s="9" t="s">
        <v>398</v>
      </c>
      <c r="G201" s="7" t="s">
        <v>27</v>
      </c>
      <c r="H201" s="7">
        <v>90.0</v>
      </c>
      <c r="I201" s="7">
        <v>39.0</v>
      </c>
      <c r="J201" s="7">
        <f t="shared" si="1"/>
        <v>90</v>
      </c>
      <c r="K201" s="7">
        <v>20.0</v>
      </c>
      <c r="L201" s="7"/>
      <c r="M201" s="7">
        <f t="shared" si="2"/>
        <v>20</v>
      </c>
      <c r="N201" s="7">
        <v>20.0</v>
      </c>
      <c r="O201" s="7"/>
      <c r="P201" s="7">
        <f t="shared" si="3"/>
        <v>20</v>
      </c>
      <c r="Q201" s="7">
        <v>20.0</v>
      </c>
      <c r="R201" s="7"/>
      <c r="S201" s="7">
        <f t="shared" si="4"/>
        <v>20</v>
      </c>
      <c r="T201" s="7">
        <v>10.0</v>
      </c>
      <c r="U201" s="7"/>
      <c r="V201" s="7">
        <f t="shared" si="5"/>
        <v>10</v>
      </c>
      <c r="W201" s="7">
        <v>10.0</v>
      </c>
      <c r="X201" s="7"/>
      <c r="Y201" s="7">
        <f t="shared" si="6"/>
        <v>10</v>
      </c>
      <c r="Z201" s="7">
        <v>10.0</v>
      </c>
      <c r="AA201" s="7"/>
      <c r="AB201" s="7">
        <f t="shared" si="7"/>
        <v>10</v>
      </c>
      <c r="AC201" s="7">
        <v>0.0</v>
      </c>
      <c r="AD201" s="7"/>
      <c r="AE201" s="7">
        <f t="shared" si="8"/>
        <v>0</v>
      </c>
      <c r="AF201" s="10"/>
      <c r="AG201" s="10"/>
      <c r="AH201" s="10"/>
      <c r="AI201" s="10"/>
    </row>
    <row r="202" ht="30.0" customHeight="1">
      <c r="A202" s="7">
        <v>200.0</v>
      </c>
      <c r="B202" s="7">
        <v>4.2114901E7</v>
      </c>
      <c r="C202" s="7">
        <v>23.0</v>
      </c>
      <c r="D202" s="7">
        <v>70.0</v>
      </c>
      <c r="E202" s="8" t="s">
        <v>399</v>
      </c>
      <c r="F202" s="9" t="s">
        <v>400</v>
      </c>
      <c r="G202" s="7" t="s">
        <v>27</v>
      </c>
      <c r="H202" s="7">
        <v>7.0</v>
      </c>
      <c r="I202" s="11">
        <v>0.0</v>
      </c>
      <c r="J202" s="7">
        <f t="shared" si="1"/>
        <v>7</v>
      </c>
      <c r="K202" s="7">
        <v>0.0</v>
      </c>
      <c r="L202" s="7"/>
      <c r="M202" s="7">
        <f t="shared" si="2"/>
        <v>0</v>
      </c>
      <c r="N202" s="7">
        <v>0.0</v>
      </c>
      <c r="O202" s="7"/>
      <c r="P202" s="7">
        <f t="shared" si="3"/>
        <v>0</v>
      </c>
      <c r="Q202" s="7">
        <v>7.0</v>
      </c>
      <c r="R202" s="7"/>
      <c r="S202" s="7">
        <f t="shared" si="4"/>
        <v>7</v>
      </c>
      <c r="T202" s="7">
        <v>0.0</v>
      </c>
      <c r="U202" s="7"/>
      <c r="V202" s="7">
        <f t="shared" si="5"/>
        <v>0</v>
      </c>
      <c r="W202" s="7">
        <v>0.0</v>
      </c>
      <c r="X202" s="7"/>
      <c r="Y202" s="7">
        <f t="shared" si="6"/>
        <v>0</v>
      </c>
      <c r="Z202" s="7">
        <v>0.0</v>
      </c>
      <c r="AA202" s="7"/>
      <c r="AB202" s="7">
        <f t="shared" si="7"/>
        <v>0</v>
      </c>
      <c r="AC202" s="7">
        <v>0.0</v>
      </c>
      <c r="AD202" s="7"/>
      <c r="AE202" s="7">
        <f t="shared" si="8"/>
        <v>0</v>
      </c>
      <c r="AF202" s="10"/>
      <c r="AG202" s="10"/>
      <c r="AH202" s="10"/>
      <c r="AI202" s="10"/>
    </row>
    <row r="203" ht="30.0" customHeight="1">
      <c r="A203" s="7">
        <v>201.0</v>
      </c>
      <c r="B203" s="7">
        <v>4.211951E7</v>
      </c>
      <c r="C203" s="7">
        <v>23.0</v>
      </c>
      <c r="D203" s="7">
        <v>70.0</v>
      </c>
      <c r="E203" s="8" t="s">
        <v>401</v>
      </c>
      <c r="F203" s="9" t="s">
        <v>402</v>
      </c>
      <c r="G203" s="7" t="s">
        <v>27</v>
      </c>
      <c r="H203" s="7">
        <v>500.0</v>
      </c>
      <c r="I203" s="7">
        <v>645.0</v>
      </c>
      <c r="J203" s="7">
        <f t="shared" si="1"/>
        <v>60</v>
      </c>
      <c r="K203" s="7">
        <v>50.0</v>
      </c>
      <c r="L203" s="7"/>
      <c r="M203" s="7">
        <f t="shared" si="2"/>
        <v>50</v>
      </c>
      <c r="N203" s="7">
        <v>0.0</v>
      </c>
      <c r="O203" s="7"/>
      <c r="P203" s="7">
        <f t="shared" si="3"/>
        <v>0</v>
      </c>
      <c r="Q203" s="7">
        <v>10.0</v>
      </c>
      <c r="R203" s="7"/>
      <c r="S203" s="7">
        <f t="shared" si="4"/>
        <v>10</v>
      </c>
      <c r="T203" s="7">
        <v>0.0</v>
      </c>
      <c r="U203" s="7"/>
      <c r="V203" s="7">
        <f t="shared" si="5"/>
        <v>0</v>
      </c>
      <c r="W203" s="7">
        <v>0.0</v>
      </c>
      <c r="X203" s="7"/>
      <c r="Y203" s="7">
        <f t="shared" si="6"/>
        <v>0</v>
      </c>
      <c r="Z203" s="7">
        <v>0.0</v>
      </c>
      <c r="AA203" s="7"/>
      <c r="AB203" s="7">
        <f t="shared" si="7"/>
        <v>0</v>
      </c>
      <c r="AC203" s="7">
        <v>0.0</v>
      </c>
      <c r="AD203" s="7"/>
      <c r="AE203" s="7">
        <f t="shared" si="8"/>
        <v>0</v>
      </c>
      <c r="AF203" s="13"/>
      <c r="AG203" s="10"/>
      <c r="AH203" s="10"/>
      <c r="AI203" s="10"/>
    </row>
    <row r="204" ht="30.0" customHeight="1">
      <c r="A204" s="7">
        <v>202.0</v>
      </c>
      <c r="B204" s="7">
        <v>4.2110373E7</v>
      </c>
      <c r="C204" s="7">
        <v>23.0</v>
      </c>
      <c r="D204" s="7">
        <v>70.0</v>
      </c>
      <c r="E204" s="8" t="s">
        <v>403</v>
      </c>
      <c r="F204" s="9" t="s">
        <v>403</v>
      </c>
      <c r="G204" s="7" t="s">
        <v>27</v>
      </c>
      <c r="H204" s="7">
        <v>60.0</v>
      </c>
      <c r="I204" s="11">
        <v>0.0</v>
      </c>
      <c r="J204" s="7">
        <f t="shared" si="1"/>
        <v>40</v>
      </c>
      <c r="K204" s="7">
        <v>20.0</v>
      </c>
      <c r="L204" s="7"/>
      <c r="M204" s="7">
        <f t="shared" si="2"/>
        <v>20</v>
      </c>
      <c r="N204" s="7">
        <v>20.0</v>
      </c>
      <c r="O204" s="7"/>
      <c r="P204" s="7">
        <f t="shared" si="3"/>
        <v>20</v>
      </c>
      <c r="Q204" s="7">
        <v>0.0</v>
      </c>
      <c r="R204" s="7"/>
      <c r="S204" s="7">
        <f t="shared" si="4"/>
        <v>0</v>
      </c>
      <c r="T204" s="7">
        <v>0.0</v>
      </c>
      <c r="U204" s="7"/>
      <c r="V204" s="7">
        <f t="shared" si="5"/>
        <v>0</v>
      </c>
      <c r="W204" s="7">
        <v>0.0</v>
      </c>
      <c r="X204" s="7"/>
      <c r="Y204" s="7">
        <f t="shared" si="6"/>
        <v>0</v>
      </c>
      <c r="Z204" s="7">
        <v>0.0</v>
      </c>
      <c r="AA204" s="7"/>
      <c r="AB204" s="7">
        <f t="shared" si="7"/>
        <v>0</v>
      </c>
      <c r="AC204" s="7">
        <v>0.0</v>
      </c>
      <c r="AD204" s="7"/>
      <c r="AE204" s="7">
        <f t="shared" si="8"/>
        <v>0</v>
      </c>
      <c r="AF204" s="10"/>
      <c r="AG204" s="10"/>
      <c r="AH204" s="10"/>
      <c r="AI204" s="10"/>
    </row>
    <row r="205" ht="30.0" customHeight="1">
      <c r="A205" s="7">
        <v>203.0</v>
      </c>
      <c r="B205" s="7">
        <v>4.2110099E7</v>
      </c>
      <c r="C205" s="7">
        <v>23.0</v>
      </c>
      <c r="D205" s="7">
        <v>70.0</v>
      </c>
      <c r="E205" s="8" t="s">
        <v>404</v>
      </c>
      <c r="F205" s="9" t="s">
        <v>405</v>
      </c>
      <c r="G205" s="7" t="s">
        <v>27</v>
      </c>
      <c r="H205" s="7">
        <v>250.0</v>
      </c>
      <c r="I205" s="7">
        <v>1.0</v>
      </c>
      <c r="J205" s="7">
        <f t="shared" si="1"/>
        <v>50</v>
      </c>
      <c r="K205" s="7">
        <v>50.0</v>
      </c>
      <c r="L205" s="7"/>
      <c r="M205" s="7">
        <f t="shared" si="2"/>
        <v>50</v>
      </c>
      <c r="N205" s="7">
        <v>0.0</v>
      </c>
      <c r="O205" s="7"/>
      <c r="P205" s="7">
        <f t="shared" si="3"/>
        <v>0</v>
      </c>
      <c r="Q205" s="7">
        <v>0.0</v>
      </c>
      <c r="R205" s="7"/>
      <c r="S205" s="7">
        <f t="shared" si="4"/>
        <v>0</v>
      </c>
      <c r="T205" s="7">
        <v>0.0</v>
      </c>
      <c r="U205" s="7"/>
      <c r="V205" s="7">
        <f t="shared" si="5"/>
        <v>0</v>
      </c>
      <c r="W205" s="7">
        <v>0.0</v>
      </c>
      <c r="X205" s="7"/>
      <c r="Y205" s="7">
        <f t="shared" si="6"/>
        <v>0</v>
      </c>
      <c r="Z205" s="7">
        <v>0.0</v>
      </c>
      <c r="AA205" s="7"/>
      <c r="AB205" s="7">
        <f t="shared" si="7"/>
        <v>0</v>
      </c>
      <c r="AC205" s="7">
        <v>0.0</v>
      </c>
      <c r="AD205" s="7"/>
      <c r="AE205" s="7">
        <f t="shared" si="8"/>
        <v>0</v>
      </c>
      <c r="AF205" s="10"/>
      <c r="AG205" s="10"/>
      <c r="AH205" s="10"/>
      <c r="AI205" s="10"/>
    </row>
    <row r="206" ht="30.0" customHeight="1">
      <c r="A206" s="7">
        <v>204.0</v>
      </c>
      <c r="B206" s="7">
        <v>4.2110154E7</v>
      </c>
      <c r="C206" s="7">
        <v>23.0</v>
      </c>
      <c r="D206" s="7">
        <v>70.0</v>
      </c>
      <c r="E206" s="8" t="s">
        <v>406</v>
      </c>
      <c r="F206" s="9" t="s">
        <v>407</v>
      </c>
      <c r="G206" s="7" t="s">
        <v>27</v>
      </c>
      <c r="H206" s="7">
        <v>20.0</v>
      </c>
      <c r="I206" s="7">
        <v>17.0</v>
      </c>
      <c r="J206" s="7">
        <f t="shared" si="1"/>
        <v>20</v>
      </c>
      <c r="K206" s="7">
        <v>20.0</v>
      </c>
      <c r="L206" s="7"/>
      <c r="M206" s="7">
        <f t="shared" si="2"/>
        <v>20</v>
      </c>
      <c r="N206" s="7">
        <v>0.0</v>
      </c>
      <c r="O206" s="7"/>
      <c r="P206" s="7">
        <f t="shared" si="3"/>
        <v>0</v>
      </c>
      <c r="Q206" s="7">
        <v>0.0</v>
      </c>
      <c r="R206" s="7"/>
      <c r="S206" s="7">
        <f t="shared" si="4"/>
        <v>0</v>
      </c>
      <c r="T206" s="7">
        <v>0.0</v>
      </c>
      <c r="U206" s="7"/>
      <c r="V206" s="7">
        <f t="shared" si="5"/>
        <v>0</v>
      </c>
      <c r="W206" s="7">
        <v>0.0</v>
      </c>
      <c r="X206" s="7"/>
      <c r="Y206" s="7">
        <f t="shared" si="6"/>
        <v>0</v>
      </c>
      <c r="Z206" s="7">
        <v>0.0</v>
      </c>
      <c r="AA206" s="7"/>
      <c r="AB206" s="7">
        <f t="shared" si="7"/>
        <v>0</v>
      </c>
      <c r="AC206" s="7">
        <v>0.0</v>
      </c>
      <c r="AD206" s="7"/>
      <c r="AE206" s="7">
        <f t="shared" si="8"/>
        <v>0</v>
      </c>
      <c r="AF206" s="10"/>
      <c r="AG206" s="10"/>
      <c r="AH206" s="10"/>
      <c r="AI206" s="10"/>
    </row>
    <row r="207" ht="30.0" customHeight="1">
      <c r="A207" s="7">
        <v>205.0</v>
      </c>
      <c r="B207" s="7">
        <v>4.7050585E7</v>
      </c>
      <c r="C207" s="7">
        <v>23.0</v>
      </c>
      <c r="D207" s="7">
        <v>10.0</v>
      </c>
      <c r="E207" s="8" t="s">
        <v>408</v>
      </c>
      <c r="F207" s="9" t="s">
        <v>409</v>
      </c>
      <c r="G207" s="7" t="s">
        <v>27</v>
      </c>
      <c r="H207" s="7">
        <v>30.0</v>
      </c>
      <c r="I207" s="7">
        <v>22.0</v>
      </c>
      <c r="J207" s="7">
        <f t="shared" si="1"/>
        <v>30</v>
      </c>
      <c r="K207" s="7">
        <v>10.0</v>
      </c>
      <c r="L207" s="7"/>
      <c r="M207" s="7">
        <f t="shared" si="2"/>
        <v>10</v>
      </c>
      <c r="N207" s="7">
        <v>10.0</v>
      </c>
      <c r="O207" s="7"/>
      <c r="P207" s="7">
        <f t="shared" si="3"/>
        <v>10</v>
      </c>
      <c r="Q207" s="7">
        <v>4.0</v>
      </c>
      <c r="R207" s="7"/>
      <c r="S207" s="7">
        <f t="shared" si="4"/>
        <v>4</v>
      </c>
      <c r="T207" s="7">
        <v>2.0</v>
      </c>
      <c r="U207" s="7"/>
      <c r="V207" s="7">
        <f t="shared" si="5"/>
        <v>2</v>
      </c>
      <c r="W207" s="7">
        <v>2.0</v>
      </c>
      <c r="X207" s="7"/>
      <c r="Y207" s="7">
        <f t="shared" si="6"/>
        <v>2</v>
      </c>
      <c r="Z207" s="7">
        <v>2.0</v>
      </c>
      <c r="AA207" s="7"/>
      <c r="AB207" s="7">
        <f t="shared" si="7"/>
        <v>2</v>
      </c>
      <c r="AC207" s="7">
        <v>0.0</v>
      </c>
      <c r="AD207" s="7"/>
      <c r="AE207" s="7">
        <f t="shared" si="8"/>
        <v>0</v>
      </c>
      <c r="AF207" s="10"/>
      <c r="AG207" s="10"/>
      <c r="AH207" s="10"/>
      <c r="AI207" s="10"/>
    </row>
    <row r="208" ht="30.0" customHeight="1">
      <c r="A208" s="7">
        <v>206.0</v>
      </c>
      <c r="B208" s="7">
        <v>4.2907627E7</v>
      </c>
      <c r="C208" s="7">
        <v>23.0</v>
      </c>
      <c r="D208" s="7">
        <v>10.0</v>
      </c>
      <c r="E208" s="8" t="s">
        <v>410</v>
      </c>
      <c r="F208" s="9" t="s">
        <v>411</v>
      </c>
      <c r="G208" s="7" t="s">
        <v>27</v>
      </c>
      <c r="H208" s="7">
        <v>8.0</v>
      </c>
      <c r="I208" s="7">
        <v>21.0</v>
      </c>
      <c r="J208" s="7">
        <f t="shared" si="1"/>
        <v>8</v>
      </c>
      <c r="K208" s="7">
        <v>8.0</v>
      </c>
      <c r="L208" s="7"/>
      <c r="M208" s="7">
        <f t="shared" si="2"/>
        <v>8</v>
      </c>
      <c r="N208" s="7">
        <v>0.0</v>
      </c>
      <c r="O208" s="7"/>
      <c r="P208" s="7">
        <f t="shared" si="3"/>
        <v>0</v>
      </c>
      <c r="Q208" s="7">
        <v>0.0</v>
      </c>
      <c r="R208" s="7"/>
      <c r="S208" s="7">
        <f t="shared" si="4"/>
        <v>0</v>
      </c>
      <c r="T208" s="7">
        <v>0.0</v>
      </c>
      <c r="U208" s="7"/>
      <c r="V208" s="7">
        <f t="shared" si="5"/>
        <v>0</v>
      </c>
      <c r="W208" s="7">
        <v>0.0</v>
      </c>
      <c r="X208" s="7"/>
      <c r="Y208" s="7">
        <f t="shared" si="6"/>
        <v>0</v>
      </c>
      <c r="Z208" s="7">
        <v>0.0</v>
      </c>
      <c r="AA208" s="7"/>
      <c r="AB208" s="7">
        <f t="shared" si="7"/>
        <v>0</v>
      </c>
      <c r="AC208" s="7">
        <v>0.0</v>
      </c>
      <c r="AD208" s="7"/>
      <c r="AE208" s="7">
        <f t="shared" si="8"/>
        <v>0</v>
      </c>
      <c r="AF208" s="10"/>
      <c r="AG208" s="10"/>
      <c r="AH208" s="10"/>
      <c r="AI208" s="10"/>
    </row>
    <row r="209" ht="30.0" customHeight="1">
      <c r="A209" s="7">
        <v>207.0</v>
      </c>
      <c r="B209" s="7">
        <v>4.7160081E7</v>
      </c>
      <c r="C209" s="7">
        <v>24.0</v>
      </c>
      <c r="D209" s="7">
        <v>70.0</v>
      </c>
      <c r="E209" s="8" t="s">
        <v>412</v>
      </c>
      <c r="F209" s="9" t="s">
        <v>413</v>
      </c>
      <c r="G209" s="7" t="s">
        <v>27</v>
      </c>
      <c r="H209" s="7">
        <v>4.0</v>
      </c>
      <c r="I209" s="11">
        <v>0.0</v>
      </c>
      <c r="J209" s="7">
        <f t="shared" si="1"/>
        <v>4</v>
      </c>
      <c r="K209" s="7">
        <v>0.0</v>
      </c>
      <c r="L209" s="7"/>
      <c r="M209" s="7">
        <f t="shared" si="2"/>
        <v>0</v>
      </c>
      <c r="N209" s="7">
        <v>0.0</v>
      </c>
      <c r="O209" s="7"/>
      <c r="P209" s="7">
        <f t="shared" si="3"/>
        <v>0</v>
      </c>
      <c r="Q209" s="7">
        <v>4.0</v>
      </c>
      <c r="R209" s="7"/>
      <c r="S209" s="7">
        <f t="shared" si="4"/>
        <v>4</v>
      </c>
      <c r="T209" s="7">
        <v>0.0</v>
      </c>
      <c r="U209" s="7"/>
      <c r="V209" s="7">
        <f t="shared" si="5"/>
        <v>0</v>
      </c>
      <c r="W209" s="7">
        <v>0.0</v>
      </c>
      <c r="X209" s="7"/>
      <c r="Y209" s="7">
        <f t="shared" si="6"/>
        <v>0</v>
      </c>
      <c r="Z209" s="7">
        <v>0.0</v>
      </c>
      <c r="AA209" s="7"/>
      <c r="AB209" s="7">
        <f t="shared" si="7"/>
        <v>0</v>
      </c>
      <c r="AC209" s="7">
        <v>0.0</v>
      </c>
      <c r="AD209" s="7"/>
      <c r="AE209" s="7">
        <f t="shared" si="8"/>
        <v>0</v>
      </c>
      <c r="AF209" s="10"/>
      <c r="AG209" s="10"/>
      <c r="AH209" s="10"/>
      <c r="AI209" s="10"/>
    </row>
    <row r="210" ht="30.0" customHeight="1">
      <c r="A210" s="7">
        <v>208.0</v>
      </c>
      <c r="B210" s="7">
        <v>4.7160172E7</v>
      </c>
      <c r="C210" s="7">
        <v>24.0</v>
      </c>
      <c r="D210" s="7">
        <v>70.0</v>
      </c>
      <c r="E210" s="8" t="s">
        <v>414</v>
      </c>
      <c r="F210" s="9" t="s">
        <v>415</v>
      </c>
      <c r="G210" s="7" t="s">
        <v>27</v>
      </c>
      <c r="H210" s="7">
        <v>4.0</v>
      </c>
      <c r="I210" s="11">
        <v>0.0</v>
      </c>
      <c r="J210" s="7">
        <f t="shared" si="1"/>
        <v>4</v>
      </c>
      <c r="K210" s="7">
        <v>0.0</v>
      </c>
      <c r="L210" s="7"/>
      <c r="M210" s="7">
        <f t="shared" si="2"/>
        <v>0</v>
      </c>
      <c r="N210" s="7">
        <v>0.0</v>
      </c>
      <c r="O210" s="7"/>
      <c r="P210" s="7">
        <f t="shared" si="3"/>
        <v>0</v>
      </c>
      <c r="Q210" s="7">
        <v>4.0</v>
      </c>
      <c r="R210" s="7"/>
      <c r="S210" s="7">
        <f t="shared" si="4"/>
        <v>4</v>
      </c>
      <c r="T210" s="7">
        <v>0.0</v>
      </c>
      <c r="U210" s="7"/>
      <c r="V210" s="7">
        <f t="shared" si="5"/>
        <v>0</v>
      </c>
      <c r="W210" s="7">
        <v>0.0</v>
      </c>
      <c r="X210" s="7"/>
      <c r="Y210" s="7">
        <f t="shared" si="6"/>
        <v>0</v>
      </c>
      <c r="Z210" s="7">
        <v>0.0</v>
      </c>
      <c r="AA210" s="7"/>
      <c r="AB210" s="7">
        <f t="shared" si="7"/>
        <v>0</v>
      </c>
      <c r="AC210" s="7">
        <v>0.0</v>
      </c>
      <c r="AD210" s="7"/>
      <c r="AE210" s="7">
        <f t="shared" si="8"/>
        <v>0</v>
      </c>
      <c r="AF210" s="10"/>
      <c r="AG210" s="10"/>
      <c r="AH210" s="10"/>
      <c r="AI210" s="10"/>
    </row>
    <row r="211" ht="30.0" customHeight="1">
      <c r="A211" s="7">
        <v>209.0</v>
      </c>
      <c r="B211" s="7">
        <v>4.205003E7</v>
      </c>
      <c r="C211" s="7">
        <v>24.0</v>
      </c>
      <c r="D211" s="7">
        <v>70.0</v>
      </c>
      <c r="E211" s="8" t="s">
        <v>416</v>
      </c>
      <c r="F211" s="9" t="s">
        <v>417</v>
      </c>
      <c r="G211" s="7" t="s">
        <v>27</v>
      </c>
      <c r="H211" s="7">
        <v>50.0</v>
      </c>
      <c r="I211" s="7">
        <v>166.0</v>
      </c>
      <c r="J211" s="7">
        <f t="shared" si="1"/>
        <v>50</v>
      </c>
      <c r="K211" s="7">
        <v>20.0</v>
      </c>
      <c r="L211" s="7"/>
      <c r="M211" s="7">
        <f t="shared" si="2"/>
        <v>20</v>
      </c>
      <c r="N211" s="7">
        <v>30.0</v>
      </c>
      <c r="O211" s="7"/>
      <c r="P211" s="7">
        <f t="shared" si="3"/>
        <v>30</v>
      </c>
      <c r="Q211" s="7">
        <v>0.0</v>
      </c>
      <c r="R211" s="7"/>
      <c r="S211" s="7">
        <f t="shared" si="4"/>
        <v>0</v>
      </c>
      <c r="T211" s="7">
        <v>0.0</v>
      </c>
      <c r="U211" s="7"/>
      <c r="V211" s="7">
        <f t="shared" si="5"/>
        <v>0</v>
      </c>
      <c r="W211" s="7">
        <v>0.0</v>
      </c>
      <c r="X211" s="7"/>
      <c r="Y211" s="7">
        <f t="shared" si="6"/>
        <v>0</v>
      </c>
      <c r="Z211" s="7">
        <v>0.0</v>
      </c>
      <c r="AA211" s="7"/>
      <c r="AB211" s="7">
        <f t="shared" si="7"/>
        <v>0</v>
      </c>
      <c r="AC211" s="7">
        <v>0.0</v>
      </c>
      <c r="AD211" s="7"/>
      <c r="AE211" s="7">
        <f t="shared" si="8"/>
        <v>0</v>
      </c>
      <c r="AF211" s="10"/>
      <c r="AG211" s="10"/>
      <c r="AH211" s="10"/>
      <c r="AI211" s="10"/>
    </row>
    <row r="212" ht="30.0" customHeight="1">
      <c r="A212" s="7">
        <v>210.0</v>
      </c>
      <c r="B212" s="7">
        <v>4.71601E7</v>
      </c>
      <c r="C212" s="7">
        <v>24.0</v>
      </c>
      <c r="D212" s="7">
        <v>70.0</v>
      </c>
      <c r="E212" s="8" t="s">
        <v>418</v>
      </c>
      <c r="F212" s="9" t="s">
        <v>419</v>
      </c>
      <c r="G212" s="7" t="s">
        <v>27</v>
      </c>
      <c r="H212" s="7">
        <v>100.0</v>
      </c>
      <c r="I212" s="7">
        <v>192.0</v>
      </c>
      <c r="J212" s="7">
        <f t="shared" si="1"/>
        <v>90</v>
      </c>
      <c r="K212" s="7">
        <v>0.0</v>
      </c>
      <c r="L212" s="7"/>
      <c r="M212" s="7">
        <f t="shared" si="2"/>
        <v>0</v>
      </c>
      <c r="N212" s="7">
        <v>0.0</v>
      </c>
      <c r="O212" s="7"/>
      <c r="P212" s="7">
        <f t="shared" si="3"/>
        <v>0</v>
      </c>
      <c r="Q212" s="7">
        <v>70.0</v>
      </c>
      <c r="R212" s="7"/>
      <c r="S212" s="7">
        <f t="shared" si="4"/>
        <v>70</v>
      </c>
      <c r="T212" s="7">
        <v>0.0</v>
      </c>
      <c r="U212" s="7"/>
      <c r="V212" s="7">
        <f t="shared" si="5"/>
        <v>0</v>
      </c>
      <c r="W212" s="7">
        <v>0.0</v>
      </c>
      <c r="X212" s="7"/>
      <c r="Y212" s="7">
        <f t="shared" si="6"/>
        <v>0</v>
      </c>
      <c r="Z212" s="7">
        <v>20.0</v>
      </c>
      <c r="AA212" s="7"/>
      <c r="AB212" s="7">
        <f t="shared" si="7"/>
        <v>20</v>
      </c>
      <c r="AC212" s="7">
        <v>0.0</v>
      </c>
      <c r="AD212" s="7"/>
      <c r="AE212" s="7">
        <f t="shared" si="8"/>
        <v>0</v>
      </c>
      <c r="AF212" s="10"/>
      <c r="AG212" s="10"/>
      <c r="AH212" s="10"/>
      <c r="AI212" s="10"/>
    </row>
    <row r="213" ht="30.0" customHeight="1">
      <c r="A213" s="7">
        <v>211.0</v>
      </c>
      <c r="B213" s="7">
        <v>4.7160019E7</v>
      </c>
      <c r="C213" s="7">
        <v>24.0</v>
      </c>
      <c r="D213" s="7">
        <v>70.0</v>
      </c>
      <c r="E213" s="8" t="s">
        <v>420</v>
      </c>
      <c r="F213" s="9" t="s">
        <v>421</v>
      </c>
      <c r="G213" s="7" t="s">
        <v>27</v>
      </c>
      <c r="H213" s="7">
        <v>6.0</v>
      </c>
      <c r="I213" s="7">
        <v>6.0</v>
      </c>
      <c r="J213" s="7">
        <f t="shared" si="1"/>
        <v>0</v>
      </c>
      <c r="K213" s="7">
        <v>0.0</v>
      </c>
      <c r="L213" s="7"/>
      <c r="M213" s="7">
        <f t="shared" si="2"/>
        <v>0</v>
      </c>
      <c r="N213" s="7">
        <v>0.0</v>
      </c>
      <c r="O213" s="7"/>
      <c r="P213" s="7">
        <f t="shared" si="3"/>
        <v>0</v>
      </c>
      <c r="Q213" s="7">
        <v>0.0</v>
      </c>
      <c r="R213" s="7"/>
      <c r="S213" s="7">
        <f t="shared" si="4"/>
        <v>0</v>
      </c>
      <c r="T213" s="7">
        <v>0.0</v>
      </c>
      <c r="U213" s="7"/>
      <c r="V213" s="7">
        <f t="shared" si="5"/>
        <v>0</v>
      </c>
      <c r="W213" s="7">
        <v>0.0</v>
      </c>
      <c r="X213" s="7"/>
      <c r="Y213" s="7">
        <f t="shared" si="6"/>
        <v>0</v>
      </c>
      <c r="Z213" s="7">
        <v>0.0</v>
      </c>
      <c r="AA213" s="7"/>
      <c r="AB213" s="7">
        <f t="shared" si="7"/>
        <v>0</v>
      </c>
      <c r="AC213" s="7">
        <v>0.0</v>
      </c>
      <c r="AD213" s="7"/>
      <c r="AE213" s="7">
        <f t="shared" si="8"/>
        <v>0</v>
      </c>
      <c r="AF213" s="7">
        <v>6.0</v>
      </c>
      <c r="AG213" s="7">
        <v>6.0</v>
      </c>
      <c r="AH213" s="11">
        <v>0.0</v>
      </c>
      <c r="AI213" s="11">
        <v>0.0</v>
      </c>
    </row>
    <row r="214" ht="30.0" customHeight="1">
      <c r="A214" s="7">
        <v>212.0</v>
      </c>
      <c r="B214" s="7">
        <v>4.2903932E7</v>
      </c>
      <c r="C214" s="7">
        <v>24.0</v>
      </c>
      <c r="D214" s="7">
        <v>10.0</v>
      </c>
      <c r="E214" s="8" t="s">
        <v>422</v>
      </c>
      <c r="F214" s="9" t="s">
        <v>423</v>
      </c>
      <c r="G214" s="7" t="s">
        <v>27</v>
      </c>
      <c r="H214" s="7">
        <v>71.0</v>
      </c>
      <c r="I214" s="7">
        <v>35.0</v>
      </c>
      <c r="J214" s="7">
        <f t="shared" si="1"/>
        <v>15</v>
      </c>
      <c r="K214" s="7">
        <v>0.0</v>
      </c>
      <c r="L214" s="7"/>
      <c r="M214" s="7">
        <f t="shared" si="2"/>
        <v>0</v>
      </c>
      <c r="N214" s="7">
        <v>15.0</v>
      </c>
      <c r="O214" s="7"/>
      <c r="P214" s="7">
        <f t="shared" si="3"/>
        <v>15</v>
      </c>
      <c r="Q214" s="7">
        <v>0.0</v>
      </c>
      <c r="R214" s="7"/>
      <c r="S214" s="7">
        <f t="shared" si="4"/>
        <v>0</v>
      </c>
      <c r="T214" s="7">
        <v>0.0</v>
      </c>
      <c r="U214" s="7"/>
      <c r="V214" s="7">
        <f t="shared" si="5"/>
        <v>0</v>
      </c>
      <c r="W214" s="7">
        <v>0.0</v>
      </c>
      <c r="X214" s="7"/>
      <c r="Y214" s="7">
        <f t="shared" si="6"/>
        <v>0</v>
      </c>
      <c r="Z214" s="7">
        <v>0.0</v>
      </c>
      <c r="AA214" s="7"/>
      <c r="AB214" s="7">
        <f t="shared" si="7"/>
        <v>0</v>
      </c>
      <c r="AC214" s="7">
        <v>0.0</v>
      </c>
      <c r="AD214" s="7"/>
      <c r="AE214" s="7">
        <f t="shared" si="8"/>
        <v>0</v>
      </c>
      <c r="AF214" s="10"/>
      <c r="AG214" s="10"/>
      <c r="AH214" s="10"/>
      <c r="AI214" s="10"/>
    </row>
    <row r="215" ht="30.0" customHeight="1">
      <c r="A215" s="7">
        <v>213.0</v>
      </c>
      <c r="B215" s="7">
        <v>4.7160111E7</v>
      </c>
      <c r="C215" s="7">
        <v>24.0</v>
      </c>
      <c r="D215" s="7">
        <v>70.0</v>
      </c>
      <c r="E215" s="8" t="s">
        <v>424</v>
      </c>
      <c r="F215" s="9" t="s">
        <v>425</v>
      </c>
      <c r="G215" s="7" t="s">
        <v>27</v>
      </c>
      <c r="H215" s="7">
        <v>16.0</v>
      </c>
      <c r="I215" s="7">
        <v>2.0</v>
      </c>
      <c r="J215" s="7">
        <f t="shared" si="1"/>
        <v>16</v>
      </c>
      <c r="K215" s="7">
        <v>0.0</v>
      </c>
      <c r="L215" s="7"/>
      <c r="M215" s="7">
        <f t="shared" si="2"/>
        <v>0</v>
      </c>
      <c r="N215" s="7">
        <v>12.0</v>
      </c>
      <c r="O215" s="7"/>
      <c r="P215" s="7">
        <f t="shared" si="3"/>
        <v>12</v>
      </c>
      <c r="Q215" s="7">
        <v>2.0</v>
      </c>
      <c r="R215" s="7"/>
      <c r="S215" s="7">
        <f t="shared" si="4"/>
        <v>2</v>
      </c>
      <c r="T215" s="7">
        <v>0.0</v>
      </c>
      <c r="U215" s="7"/>
      <c r="V215" s="7">
        <f t="shared" si="5"/>
        <v>0</v>
      </c>
      <c r="W215" s="7">
        <v>0.0</v>
      </c>
      <c r="X215" s="7"/>
      <c r="Y215" s="7">
        <f t="shared" si="6"/>
        <v>0</v>
      </c>
      <c r="Z215" s="7">
        <v>2.0</v>
      </c>
      <c r="AA215" s="7"/>
      <c r="AB215" s="7">
        <f t="shared" si="7"/>
        <v>2</v>
      </c>
      <c r="AC215" s="7">
        <v>0.0</v>
      </c>
      <c r="AD215" s="7"/>
      <c r="AE215" s="7">
        <f t="shared" si="8"/>
        <v>0</v>
      </c>
      <c r="AF215" s="10"/>
      <c r="AG215" s="10"/>
      <c r="AH215" s="10"/>
      <c r="AI215" s="10"/>
    </row>
    <row r="216" ht="30.0" customHeight="1">
      <c r="A216" s="7">
        <v>214.0</v>
      </c>
      <c r="B216" s="7">
        <v>4.7160032E7</v>
      </c>
      <c r="C216" s="7">
        <v>24.0</v>
      </c>
      <c r="D216" s="7">
        <v>70.0</v>
      </c>
      <c r="E216" s="8" t="s">
        <v>426</v>
      </c>
      <c r="F216" s="9" t="s">
        <v>427</v>
      </c>
      <c r="G216" s="7" t="s">
        <v>27</v>
      </c>
      <c r="H216" s="7">
        <v>4.0</v>
      </c>
      <c r="I216" s="7">
        <v>6.0</v>
      </c>
      <c r="J216" s="7">
        <f t="shared" si="1"/>
        <v>4</v>
      </c>
      <c r="K216" s="7">
        <v>2.0</v>
      </c>
      <c r="L216" s="7"/>
      <c r="M216" s="7">
        <f t="shared" si="2"/>
        <v>2</v>
      </c>
      <c r="N216" s="7">
        <v>1.0</v>
      </c>
      <c r="O216" s="7"/>
      <c r="P216" s="7">
        <f t="shared" si="3"/>
        <v>1</v>
      </c>
      <c r="Q216" s="7">
        <v>1.0</v>
      </c>
      <c r="R216" s="7"/>
      <c r="S216" s="7">
        <f t="shared" si="4"/>
        <v>1</v>
      </c>
      <c r="T216" s="7">
        <v>0.0</v>
      </c>
      <c r="U216" s="7"/>
      <c r="V216" s="7">
        <f t="shared" si="5"/>
        <v>0</v>
      </c>
      <c r="W216" s="7">
        <v>0.0</v>
      </c>
      <c r="X216" s="7"/>
      <c r="Y216" s="7">
        <f t="shared" si="6"/>
        <v>0</v>
      </c>
      <c r="Z216" s="7">
        <v>0.0</v>
      </c>
      <c r="AA216" s="7"/>
      <c r="AB216" s="7">
        <f t="shared" si="7"/>
        <v>0</v>
      </c>
      <c r="AC216" s="7">
        <v>0.0</v>
      </c>
      <c r="AD216" s="7"/>
      <c r="AE216" s="7">
        <f t="shared" si="8"/>
        <v>0</v>
      </c>
      <c r="AF216" s="10"/>
      <c r="AG216" s="10"/>
      <c r="AH216" s="10"/>
      <c r="AI216" s="10"/>
    </row>
    <row r="217" ht="30.0" customHeight="1">
      <c r="A217" s="7">
        <v>215.0</v>
      </c>
      <c r="B217" s="7">
        <v>4.7160147E7</v>
      </c>
      <c r="C217" s="7">
        <v>24.0</v>
      </c>
      <c r="D217" s="7">
        <v>70.0</v>
      </c>
      <c r="E217" s="8" t="s">
        <v>428</v>
      </c>
      <c r="F217" s="9" t="s">
        <v>429</v>
      </c>
      <c r="G217" s="7" t="s">
        <v>27</v>
      </c>
      <c r="H217" s="7">
        <v>5.0</v>
      </c>
      <c r="I217" s="7">
        <v>4.0</v>
      </c>
      <c r="J217" s="7">
        <f t="shared" si="1"/>
        <v>4</v>
      </c>
      <c r="K217" s="7">
        <v>2.0</v>
      </c>
      <c r="L217" s="7"/>
      <c r="M217" s="7">
        <f t="shared" si="2"/>
        <v>2</v>
      </c>
      <c r="N217" s="7">
        <v>1.0</v>
      </c>
      <c r="O217" s="7"/>
      <c r="P217" s="7">
        <f t="shared" si="3"/>
        <v>1</v>
      </c>
      <c r="Q217" s="7">
        <v>1.0</v>
      </c>
      <c r="R217" s="7"/>
      <c r="S217" s="7">
        <f t="shared" si="4"/>
        <v>1</v>
      </c>
      <c r="T217" s="7">
        <v>0.0</v>
      </c>
      <c r="U217" s="7"/>
      <c r="V217" s="7">
        <f t="shared" si="5"/>
        <v>0</v>
      </c>
      <c r="W217" s="7">
        <v>0.0</v>
      </c>
      <c r="X217" s="7"/>
      <c r="Y217" s="7">
        <f t="shared" si="6"/>
        <v>0</v>
      </c>
      <c r="Z217" s="7">
        <v>0.0</v>
      </c>
      <c r="AA217" s="7"/>
      <c r="AB217" s="7">
        <f t="shared" si="7"/>
        <v>0</v>
      </c>
      <c r="AC217" s="7">
        <v>0.0</v>
      </c>
      <c r="AD217" s="7"/>
      <c r="AE217" s="7">
        <f t="shared" si="8"/>
        <v>0</v>
      </c>
      <c r="AF217" s="10"/>
      <c r="AG217" s="10"/>
      <c r="AH217" s="10"/>
      <c r="AI217" s="10"/>
    </row>
    <row r="218" ht="30.0" customHeight="1">
      <c r="A218" s="7">
        <v>216.0</v>
      </c>
      <c r="B218" s="7">
        <v>4.716002E7</v>
      </c>
      <c r="C218" s="7">
        <v>24.0</v>
      </c>
      <c r="D218" s="7">
        <v>70.0</v>
      </c>
      <c r="E218" s="8" t="s">
        <v>430</v>
      </c>
      <c r="F218" s="9" t="s">
        <v>431</v>
      </c>
      <c r="G218" s="7" t="s">
        <v>27</v>
      </c>
      <c r="H218" s="7">
        <v>6.0</v>
      </c>
      <c r="I218" s="7">
        <v>7.0</v>
      </c>
      <c r="J218" s="7">
        <f t="shared" si="1"/>
        <v>4</v>
      </c>
      <c r="K218" s="7">
        <v>1.0</v>
      </c>
      <c r="L218" s="7"/>
      <c r="M218" s="7">
        <f t="shared" si="2"/>
        <v>1</v>
      </c>
      <c r="N218" s="7">
        <v>1.0</v>
      </c>
      <c r="O218" s="7"/>
      <c r="P218" s="7">
        <f t="shared" si="3"/>
        <v>1</v>
      </c>
      <c r="Q218" s="7">
        <v>2.0</v>
      </c>
      <c r="R218" s="7"/>
      <c r="S218" s="7">
        <f t="shared" si="4"/>
        <v>2</v>
      </c>
      <c r="T218" s="7">
        <v>0.0</v>
      </c>
      <c r="U218" s="7"/>
      <c r="V218" s="7">
        <f t="shared" si="5"/>
        <v>0</v>
      </c>
      <c r="W218" s="7">
        <v>0.0</v>
      </c>
      <c r="X218" s="7"/>
      <c r="Y218" s="7">
        <f t="shared" si="6"/>
        <v>0</v>
      </c>
      <c r="Z218" s="7">
        <v>0.0</v>
      </c>
      <c r="AA218" s="7"/>
      <c r="AB218" s="7">
        <f t="shared" si="7"/>
        <v>0</v>
      </c>
      <c r="AC218" s="7">
        <v>0.0</v>
      </c>
      <c r="AD218" s="7"/>
      <c r="AE218" s="7">
        <f t="shared" si="8"/>
        <v>0</v>
      </c>
      <c r="AF218" s="10"/>
      <c r="AG218" s="10"/>
      <c r="AH218" s="10"/>
      <c r="AI218" s="10"/>
    </row>
    <row r="219" ht="30.0" customHeight="1">
      <c r="A219" s="7">
        <v>217.0</v>
      </c>
      <c r="B219" s="7">
        <v>4.7241135E7</v>
      </c>
      <c r="C219" s="7">
        <v>24.0</v>
      </c>
      <c r="D219" s="7">
        <v>70.0</v>
      </c>
      <c r="E219" s="8" t="s">
        <v>432</v>
      </c>
      <c r="F219" s="9" t="s">
        <v>433</v>
      </c>
      <c r="G219" s="7" t="s">
        <v>27</v>
      </c>
      <c r="H219" s="7">
        <v>3.0</v>
      </c>
      <c r="I219" s="7">
        <v>4.0</v>
      </c>
      <c r="J219" s="7">
        <f t="shared" si="1"/>
        <v>2</v>
      </c>
      <c r="K219" s="7">
        <v>0.0</v>
      </c>
      <c r="L219" s="7"/>
      <c r="M219" s="7">
        <f t="shared" si="2"/>
        <v>0</v>
      </c>
      <c r="N219" s="7">
        <v>0.0</v>
      </c>
      <c r="O219" s="7"/>
      <c r="P219" s="7">
        <f t="shared" si="3"/>
        <v>0</v>
      </c>
      <c r="Q219" s="7">
        <v>2.0</v>
      </c>
      <c r="R219" s="7"/>
      <c r="S219" s="7">
        <f t="shared" si="4"/>
        <v>2</v>
      </c>
      <c r="T219" s="7">
        <v>0.0</v>
      </c>
      <c r="U219" s="7"/>
      <c r="V219" s="7">
        <f t="shared" si="5"/>
        <v>0</v>
      </c>
      <c r="W219" s="7">
        <v>0.0</v>
      </c>
      <c r="X219" s="7"/>
      <c r="Y219" s="7">
        <f t="shared" si="6"/>
        <v>0</v>
      </c>
      <c r="Z219" s="7">
        <v>0.0</v>
      </c>
      <c r="AA219" s="7"/>
      <c r="AB219" s="7">
        <f t="shared" si="7"/>
        <v>0</v>
      </c>
      <c r="AC219" s="7">
        <v>0.0</v>
      </c>
      <c r="AD219" s="7"/>
      <c r="AE219" s="7">
        <f t="shared" si="8"/>
        <v>0</v>
      </c>
      <c r="AF219" s="10"/>
      <c r="AG219" s="10"/>
      <c r="AH219" s="10"/>
      <c r="AI219" s="10"/>
    </row>
    <row r="220" ht="30.0" customHeight="1">
      <c r="A220" s="7">
        <v>218.0</v>
      </c>
      <c r="B220" s="7">
        <v>4.7241081E7</v>
      </c>
      <c r="C220" s="7">
        <v>24.0</v>
      </c>
      <c r="D220" s="7">
        <v>70.0</v>
      </c>
      <c r="E220" s="8" t="s">
        <v>434</v>
      </c>
      <c r="F220" s="9" t="s">
        <v>435</v>
      </c>
      <c r="G220" s="7" t="s">
        <v>27</v>
      </c>
      <c r="H220" s="7">
        <v>3.0</v>
      </c>
      <c r="I220" s="7">
        <v>3.0</v>
      </c>
      <c r="J220" s="7">
        <f t="shared" si="1"/>
        <v>2</v>
      </c>
      <c r="K220" s="7">
        <v>0.0</v>
      </c>
      <c r="L220" s="7"/>
      <c r="M220" s="7">
        <f t="shared" si="2"/>
        <v>0</v>
      </c>
      <c r="N220" s="7">
        <v>0.0</v>
      </c>
      <c r="O220" s="7"/>
      <c r="P220" s="7">
        <f t="shared" si="3"/>
        <v>0</v>
      </c>
      <c r="Q220" s="7">
        <v>2.0</v>
      </c>
      <c r="R220" s="7"/>
      <c r="S220" s="7">
        <f t="shared" si="4"/>
        <v>2</v>
      </c>
      <c r="T220" s="7">
        <v>0.0</v>
      </c>
      <c r="U220" s="7"/>
      <c r="V220" s="7">
        <f t="shared" si="5"/>
        <v>0</v>
      </c>
      <c r="W220" s="7">
        <v>0.0</v>
      </c>
      <c r="X220" s="7"/>
      <c r="Y220" s="7">
        <f t="shared" si="6"/>
        <v>0</v>
      </c>
      <c r="Z220" s="7">
        <v>0.0</v>
      </c>
      <c r="AA220" s="7"/>
      <c r="AB220" s="7">
        <f t="shared" si="7"/>
        <v>0</v>
      </c>
      <c r="AC220" s="7">
        <v>0.0</v>
      </c>
      <c r="AD220" s="7"/>
      <c r="AE220" s="7">
        <f t="shared" si="8"/>
        <v>0</v>
      </c>
      <c r="AF220" s="10"/>
      <c r="AG220" s="10"/>
      <c r="AH220" s="10"/>
      <c r="AI220" s="10"/>
    </row>
    <row r="221" ht="30.0" customHeight="1">
      <c r="A221" s="7">
        <v>219.0</v>
      </c>
      <c r="B221" s="7">
        <v>4.7360331E7</v>
      </c>
      <c r="C221" s="7">
        <v>24.0</v>
      </c>
      <c r="D221" s="7">
        <v>70.0</v>
      </c>
      <c r="E221" s="8" t="s">
        <v>436</v>
      </c>
      <c r="F221" s="9" t="s">
        <v>437</v>
      </c>
      <c r="G221" s="7" t="s">
        <v>27</v>
      </c>
      <c r="H221" s="7">
        <v>1.0</v>
      </c>
      <c r="I221" s="7">
        <v>2.0</v>
      </c>
      <c r="J221" s="7">
        <f t="shared" si="1"/>
        <v>1</v>
      </c>
      <c r="K221" s="7">
        <v>0.0</v>
      </c>
      <c r="L221" s="7"/>
      <c r="M221" s="7">
        <f t="shared" si="2"/>
        <v>0</v>
      </c>
      <c r="N221" s="7">
        <v>0.0</v>
      </c>
      <c r="O221" s="7"/>
      <c r="P221" s="7">
        <f t="shared" si="3"/>
        <v>0</v>
      </c>
      <c r="Q221" s="7">
        <v>1.0</v>
      </c>
      <c r="R221" s="7"/>
      <c r="S221" s="7">
        <f t="shared" si="4"/>
        <v>1</v>
      </c>
      <c r="T221" s="7">
        <v>0.0</v>
      </c>
      <c r="U221" s="7"/>
      <c r="V221" s="7">
        <f t="shared" si="5"/>
        <v>0</v>
      </c>
      <c r="W221" s="7">
        <v>0.0</v>
      </c>
      <c r="X221" s="7"/>
      <c r="Y221" s="7">
        <f t="shared" si="6"/>
        <v>0</v>
      </c>
      <c r="Z221" s="7">
        <v>0.0</v>
      </c>
      <c r="AA221" s="7"/>
      <c r="AB221" s="7">
        <f t="shared" si="7"/>
        <v>0</v>
      </c>
      <c r="AC221" s="7">
        <v>0.0</v>
      </c>
      <c r="AD221" s="7"/>
      <c r="AE221" s="7">
        <f t="shared" si="8"/>
        <v>0</v>
      </c>
      <c r="AF221" s="10"/>
      <c r="AG221" s="10"/>
      <c r="AH221" s="10"/>
      <c r="AI221" s="10"/>
    </row>
    <row r="222" ht="30.0" customHeight="1">
      <c r="A222" s="7">
        <v>220.0</v>
      </c>
      <c r="B222" s="7">
        <v>4.7000181E7</v>
      </c>
      <c r="C222" s="7">
        <v>24.0</v>
      </c>
      <c r="D222" s="7">
        <v>70.0</v>
      </c>
      <c r="E222" s="8" t="s">
        <v>438</v>
      </c>
      <c r="F222" s="9" t="s">
        <v>439</v>
      </c>
      <c r="G222" s="7" t="s">
        <v>27</v>
      </c>
      <c r="H222" s="7">
        <v>1.0</v>
      </c>
      <c r="I222" s="7">
        <v>2.0</v>
      </c>
      <c r="J222" s="7">
        <f t="shared" si="1"/>
        <v>1</v>
      </c>
      <c r="K222" s="7">
        <v>0.0</v>
      </c>
      <c r="L222" s="7"/>
      <c r="M222" s="7">
        <f t="shared" si="2"/>
        <v>0</v>
      </c>
      <c r="N222" s="7">
        <v>0.0</v>
      </c>
      <c r="O222" s="7"/>
      <c r="P222" s="7">
        <f t="shared" si="3"/>
        <v>0</v>
      </c>
      <c r="Q222" s="7">
        <v>1.0</v>
      </c>
      <c r="R222" s="7"/>
      <c r="S222" s="7">
        <f t="shared" si="4"/>
        <v>1</v>
      </c>
      <c r="T222" s="7">
        <v>0.0</v>
      </c>
      <c r="U222" s="7"/>
      <c r="V222" s="7">
        <f t="shared" si="5"/>
        <v>0</v>
      </c>
      <c r="W222" s="7">
        <v>0.0</v>
      </c>
      <c r="X222" s="7"/>
      <c r="Y222" s="7">
        <f t="shared" si="6"/>
        <v>0</v>
      </c>
      <c r="Z222" s="7">
        <v>0.0</v>
      </c>
      <c r="AA222" s="7"/>
      <c r="AB222" s="7">
        <f t="shared" si="7"/>
        <v>0</v>
      </c>
      <c r="AC222" s="7">
        <v>0.0</v>
      </c>
      <c r="AD222" s="7"/>
      <c r="AE222" s="7">
        <f t="shared" si="8"/>
        <v>0</v>
      </c>
      <c r="AF222" s="10"/>
      <c r="AG222" s="10"/>
      <c r="AH222" s="10"/>
      <c r="AI222" s="10"/>
    </row>
    <row r="223" ht="30.0" customHeight="1">
      <c r="A223" s="7">
        <v>221.0</v>
      </c>
      <c r="B223" s="7">
        <v>4.7240891E7</v>
      </c>
      <c r="C223" s="7">
        <v>23.0</v>
      </c>
      <c r="D223" s="7">
        <v>70.0</v>
      </c>
      <c r="E223" s="8" t="s">
        <v>440</v>
      </c>
      <c r="F223" s="9" t="s">
        <v>441</v>
      </c>
      <c r="G223" s="7" t="s">
        <v>27</v>
      </c>
      <c r="H223" s="7">
        <v>1.0</v>
      </c>
      <c r="I223" s="11">
        <v>0.0</v>
      </c>
      <c r="J223" s="7">
        <f t="shared" si="1"/>
        <v>0</v>
      </c>
      <c r="K223" s="7">
        <v>0.0</v>
      </c>
      <c r="L223" s="7"/>
      <c r="M223" s="7">
        <f t="shared" si="2"/>
        <v>0</v>
      </c>
      <c r="N223" s="7">
        <v>0.0</v>
      </c>
      <c r="O223" s="7"/>
      <c r="P223" s="7">
        <f t="shared" si="3"/>
        <v>0</v>
      </c>
      <c r="Q223" s="7">
        <v>0.0</v>
      </c>
      <c r="R223" s="7"/>
      <c r="S223" s="7">
        <f t="shared" si="4"/>
        <v>0</v>
      </c>
      <c r="T223" s="7">
        <v>0.0</v>
      </c>
      <c r="U223" s="7"/>
      <c r="V223" s="7">
        <f t="shared" si="5"/>
        <v>0</v>
      </c>
      <c r="W223" s="7">
        <v>0.0</v>
      </c>
      <c r="X223" s="7"/>
      <c r="Y223" s="7">
        <f t="shared" si="6"/>
        <v>0</v>
      </c>
      <c r="Z223" s="7">
        <v>0.0</v>
      </c>
      <c r="AA223" s="7"/>
      <c r="AB223" s="7">
        <f t="shared" si="7"/>
        <v>0</v>
      </c>
      <c r="AC223" s="7">
        <v>0.0</v>
      </c>
      <c r="AD223" s="7"/>
      <c r="AE223" s="7">
        <f t="shared" si="8"/>
        <v>0</v>
      </c>
      <c r="AF223" s="7">
        <v>1.0</v>
      </c>
      <c r="AG223" s="7">
        <v>1.0</v>
      </c>
      <c r="AH223" s="7">
        <v>2.0</v>
      </c>
      <c r="AI223" s="11">
        <v>0.0</v>
      </c>
    </row>
    <row r="224" ht="30.0" customHeight="1">
      <c r="A224" s="7">
        <v>222.0</v>
      </c>
      <c r="B224" s="7">
        <v>4.7240817E7</v>
      </c>
      <c r="C224" s="7">
        <v>23.0</v>
      </c>
      <c r="D224" s="7">
        <v>70.0</v>
      </c>
      <c r="E224" s="8" t="s">
        <v>442</v>
      </c>
      <c r="F224" s="9" t="s">
        <v>443</v>
      </c>
      <c r="G224" s="7" t="s">
        <v>27</v>
      </c>
      <c r="H224" s="7">
        <v>1.0</v>
      </c>
      <c r="I224" s="7">
        <v>3.0</v>
      </c>
      <c r="J224" s="7">
        <f t="shared" si="1"/>
        <v>1</v>
      </c>
      <c r="K224" s="7">
        <v>0.0</v>
      </c>
      <c r="L224" s="7"/>
      <c r="M224" s="7">
        <f t="shared" si="2"/>
        <v>0</v>
      </c>
      <c r="N224" s="7">
        <v>0.0</v>
      </c>
      <c r="O224" s="7"/>
      <c r="P224" s="7">
        <f t="shared" si="3"/>
        <v>0</v>
      </c>
      <c r="Q224" s="7">
        <v>1.0</v>
      </c>
      <c r="R224" s="7"/>
      <c r="S224" s="7">
        <f t="shared" si="4"/>
        <v>1</v>
      </c>
      <c r="T224" s="7">
        <v>0.0</v>
      </c>
      <c r="U224" s="7"/>
      <c r="V224" s="7">
        <f t="shared" si="5"/>
        <v>0</v>
      </c>
      <c r="W224" s="7">
        <v>0.0</v>
      </c>
      <c r="X224" s="7"/>
      <c r="Y224" s="7">
        <f t="shared" si="6"/>
        <v>0</v>
      </c>
      <c r="Z224" s="7">
        <v>0.0</v>
      </c>
      <c r="AA224" s="7"/>
      <c r="AB224" s="7">
        <f t="shared" si="7"/>
        <v>0</v>
      </c>
      <c r="AC224" s="7">
        <v>0.0</v>
      </c>
      <c r="AD224" s="7"/>
      <c r="AE224" s="7">
        <f t="shared" si="8"/>
        <v>0</v>
      </c>
      <c r="AF224" s="10"/>
      <c r="AG224" s="10"/>
      <c r="AH224" s="10"/>
      <c r="AI224" s="10"/>
    </row>
    <row r="225" ht="30.0" customHeight="1">
      <c r="A225" s="7">
        <v>223.0</v>
      </c>
      <c r="B225" s="7">
        <v>4.7240921E7</v>
      </c>
      <c r="C225" s="7">
        <v>23.0</v>
      </c>
      <c r="D225" s="7">
        <v>70.0</v>
      </c>
      <c r="E225" s="8" t="s">
        <v>444</v>
      </c>
      <c r="F225" s="9" t="s">
        <v>445</v>
      </c>
      <c r="G225" s="7" t="s">
        <v>27</v>
      </c>
      <c r="H225" s="7">
        <v>2.0</v>
      </c>
      <c r="I225" s="11">
        <v>0.0</v>
      </c>
      <c r="J225" s="7">
        <f t="shared" si="1"/>
        <v>2</v>
      </c>
      <c r="K225" s="7">
        <v>1.0</v>
      </c>
      <c r="L225" s="7"/>
      <c r="M225" s="7">
        <f t="shared" si="2"/>
        <v>1</v>
      </c>
      <c r="N225" s="7">
        <v>1.0</v>
      </c>
      <c r="O225" s="7"/>
      <c r="P225" s="7">
        <f t="shared" si="3"/>
        <v>1</v>
      </c>
      <c r="Q225" s="7">
        <v>0.0</v>
      </c>
      <c r="R225" s="7"/>
      <c r="S225" s="7">
        <f t="shared" si="4"/>
        <v>0</v>
      </c>
      <c r="T225" s="7">
        <v>0.0</v>
      </c>
      <c r="U225" s="7"/>
      <c r="V225" s="7">
        <f t="shared" si="5"/>
        <v>0</v>
      </c>
      <c r="W225" s="7">
        <v>0.0</v>
      </c>
      <c r="X225" s="7"/>
      <c r="Y225" s="7">
        <f t="shared" si="6"/>
        <v>0</v>
      </c>
      <c r="Z225" s="7">
        <v>0.0</v>
      </c>
      <c r="AA225" s="7"/>
      <c r="AB225" s="7">
        <f t="shared" si="7"/>
        <v>0</v>
      </c>
      <c r="AC225" s="7">
        <v>0.0</v>
      </c>
      <c r="AD225" s="7"/>
      <c r="AE225" s="7">
        <f t="shared" si="8"/>
        <v>0</v>
      </c>
      <c r="AF225" s="7">
        <v>2.0</v>
      </c>
      <c r="AG225" s="7">
        <v>2.0</v>
      </c>
      <c r="AH225" s="7">
        <v>2.0</v>
      </c>
      <c r="AI225" s="11">
        <v>0.0</v>
      </c>
    </row>
    <row r="226" ht="30.0" customHeight="1">
      <c r="A226" s="7">
        <v>224.0</v>
      </c>
      <c r="B226" s="7">
        <v>4.7240635E7</v>
      </c>
      <c r="C226" s="7">
        <v>24.0</v>
      </c>
      <c r="D226" s="7">
        <v>70.0</v>
      </c>
      <c r="E226" s="8" t="s">
        <v>446</v>
      </c>
      <c r="F226" s="9" t="s">
        <v>447</v>
      </c>
      <c r="G226" s="7" t="s">
        <v>27</v>
      </c>
      <c r="H226" s="7">
        <v>2.0</v>
      </c>
      <c r="I226" s="11">
        <v>0.0</v>
      </c>
      <c r="J226" s="7">
        <f t="shared" si="1"/>
        <v>1</v>
      </c>
      <c r="K226" s="7">
        <v>0.0</v>
      </c>
      <c r="L226" s="7"/>
      <c r="M226" s="7">
        <f t="shared" si="2"/>
        <v>0</v>
      </c>
      <c r="N226" s="7">
        <v>0.0</v>
      </c>
      <c r="O226" s="7"/>
      <c r="P226" s="7">
        <f t="shared" si="3"/>
        <v>0</v>
      </c>
      <c r="Q226" s="7">
        <v>1.0</v>
      </c>
      <c r="R226" s="7"/>
      <c r="S226" s="7">
        <f t="shared" si="4"/>
        <v>1</v>
      </c>
      <c r="T226" s="7">
        <v>0.0</v>
      </c>
      <c r="U226" s="7"/>
      <c r="V226" s="7">
        <f t="shared" si="5"/>
        <v>0</v>
      </c>
      <c r="W226" s="7">
        <v>0.0</v>
      </c>
      <c r="X226" s="7"/>
      <c r="Y226" s="7">
        <f t="shared" si="6"/>
        <v>0</v>
      </c>
      <c r="Z226" s="7">
        <v>0.0</v>
      </c>
      <c r="AA226" s="7"/>
      <c r="AB226" s="7">
        <f t="shared" si="7"/>
        <v>0</v>
      </c>
      <c r="AC226" s="7">
        <v>0.0</v>
      </c>
      <c r="AD226" s="7"/>
      <c r="AE226" s="7">
        <f t="shared" si="8"/>
        <v>0</v>
      </c>
      <c r="AF226" s="11">
        <v>0.0</v>
      </c>
      <c r="AG226" s="7">
        <v>1.0</v>
      </c>
      <c r="AH226" s="7">
        <v>1.0</v>
      </c>
      <c r="AI226" s="11">
        <v>0.0</v>
      </c>
    </row>
    <row r="227" ht="30.0" customHeight="1">
      <c r="A227" s="7">
        <v>225.0</v>
      </c>
      <c r="B227" s="7">
        <v>4.7240489E7</v>
      </c>
      <c r="C227" s="7">
        <v>24.0</v>
      </c>
      <c r="D227" s="7">
        <v>70.0</v>
      </c>
      <c r="E227" s="8" t="s">
        <v>448</v>
      </c>
      <c r="F227" s="9" t="s">
        <v>449</v>
      </c>
      <c r="G227" s="7" t="s">
        <v>27</v>
      </c>
      <c r="H227" s="7">
        <v>1.0</v>
      </c>
      <c r="I227" s="7">
        <v>2.0</v>
      </c>
      <c r="J227" s="7">
        <f t="shared" si="1"/>
        <v>1</v>
      </c>
      <c r="K227" s="7">
        <v>0.0</v>
      </c>
      <c r="L227" s="7"/>
      <c r="M227" s="7">
        <f t="shared" si="2"/>
        <v>0</v>
      </c>
      <c r="N227" s="7">
        <v>0.0</v>
      </c>
      <c r="O227" s="7"/>
      <c r="P227" s="7">
        <f t="shared" si="3"/>
        <v>0</v>
      </c>
      <c r="Q227" s="7">
        <v>1.0</v>
      </c>
      <c r="R227" s="7"/>
      <c r="S227" s="7">
        <f t="shared" si="4"/>
        <v>1</v>
      </c>
      <c r="T227" s="7">
        <v>0.0</v>
      </c>
      <c r="U227" s="7"/>
      <c r="V227" s="7">
        <f t="shared" si="5"/>
        <v>0</v>
      </c>
      <c r="W227" s="7">
        <v>0.0</v>
      </c>
      <c r="X227" s="7"/>
      <c r="Y227" s="7">
        <f t="shared" si="6"/>
        <v>0</v>
      </c>
      <c r="Z227" s="7">
        <v>0.0</v>
      </c>
      <c r="AA227" s="7"/>
      <c r="AB227" s="7">
        <f t="shared" si="7"/>
        <v>0</v>
      </c>
      <c r="AC227" s="7">
        <v>0.0</v>
      </c>
      <c r="AD227" s="7"/>
      <c r="AE227" s="7">
        <f t="shared" si="8"/>
        <v>0</v>
      </c>
      <c r="AF227" s="11">
        <v>0.0</v>
      </c>
      <c r="AG227" s="11">
        <v>0.0</v>
      </c>
      <c r="AH227" s="7">
        <v>2.0</v>
      </c>
      <c r="AI227" s="11">
        <v>0.0</v>
      </c>
    </row>
    <row r="228" ht="30.0" customHeight="1">
      <c r="A228" s="7">
        <v>226.0</v>
      </c>
      <c r="B228" s="7">
        <v>4.7240362E7</v>
      </c>
      <c r="C228" s="7">
        <v>24.0</v>
      </c>
      <c r="D228" s="7">
        <v>70.0</v>
      </c>
      <c r="E228" s="8" t="s">
        <v>450</v>
      </c>
      <c r="F228" s="9" t="s">
        <v>451</v>
      </c>
      <c r="G228" s="7" t="s">
        <v>27</v>
      </c>
      <c r="H228" s="7">
        <v>1.0</v>
      </c>
      <c r="I228" s="7">
        <v>3.0</v>
      </c>
      <c r="J228" s="7">
        <f t="shared" si="1"/>
        <v>0</v>
      </c>
      <c r="K228" s="7">
        <v>0.0</v>
      </c>
      <c r="L228" s="7"/>
      <c r="M228" s="7">
        <f t="shared" si="2"/>
        <v>0</v>
      </c>
      <c r="N228" s="7">
        <v>0.0</v>
      </c>
      <c r="O228" s="7"/>
      <c r="P228" s="7">
        <f t="shared" si="3"/>
        <v>0</v>
      </c>
      <c r="Q228" s="7">
        <v>0.0</v>
      </c>
      <c r="R228" s="7"/>
      <c r="S228" s="7">
        <f t="shared" si="4"/>
        <v>0</v>
      </c>
      <c r="T228" s="7">
        <v>0.0</v>
      </c>
      <c r="U228" s="7"/>
      <c r="V228" s="7">
        <f t="shared" si="5"/>
        <v>0</v>
      </c>
      <c r="W228" s="7">
        <v>0.0</v>
      </c>
      <c r="X228" s="7"/>
      <c r="Y228" s="7">
        <f t="shared" si="6"/>
        <v>0</v>
      </c>
      <c r="Z228" s="7">
        <v>0.0</v>
      </c>
      <c r="AA228" s="7"/>
      <c r="AB228" s="7">
        <f t="shared" si="7"/>
        <v>0</v>
      </c>
      <c r="AC228" s="7">
        <v>0.0</v>
      </c>
      <c r="AD228" s="7"/>
      <c r="AE228" s="7">
        <f t="shared" si="8"/>
        <v>0</v>
      </c>
      <c r="AF228" s="10"/>
      <c r="AG228" s="10"/>
      <c r="AH228" s="10"/>
      <c r="AI228" s="10"/>
    </row>
    <row r="229" ht="30.0" customHeight="1">
      <c r="A229" s="7">
        <v>227.0</v>
      </c>
      <c r="B229" s="7">
        <v>4.724097E7</v>
      </c>
      <c r="C229" s="7">
        <v>23.0</v>
      </c>
      <c r="D229" s="7">
        <v>70.0</v>
      </c>
      <c r="E229" s="8" t="s">
        <v>452</v>
      </c>
      <c r="F229" s="9" t="s">
        <v>453</v>
      </c>
      <c r="G229" s="7" t="s">
        <v>27</v>
      </c>
      <c r="H229" s="7">
        <v>2.0</v>
      </c>
      <c r="I229" s="11">
        <v>0.0</v>
      </c>
      <c r="J229" s="7">
        <f t="shared" si="1"/>
        <v>0</v>
      </c>
      <c r="K229" s="7">
        <v>0.0</v>
      </c>
      <c r="L229" s="7"/>
      <c r="M229" s="7">
        <f t="shared" si="2"/>
        <v>0</v>
      </c>
      <c r="N229" s="7">
        <v>0.0</v>
      </c>
      <c r="O229" s="7"/>
      <c r="P229" s="7">
        <f t="shared" si="3"/>
        <v>0</v>
      </c>
      <c r="Q229" s="7">
        <v>0.0</v>
      </c>
      <c r="R229" s="7"/>
      <c r="S229" s="7">
        <f t="shared" si="4"/>
        <v>0</v>
      </c>
      <c r="T229" s="7">
        <v>0.0</v>
      </c>
      <c r="U229" s="7"/>
      <c r="V229" s="7">
        <f t="shared" si="5"/>
        <v>0</v>
      </c>
      <c r="W229" s="7">
        <v>0.0</v>
      </c>
      <c r="X229" s="7"/>
      <c r="Y229" s="7">
        <f t="shared" si="6"/>
        <v>0</v>
      </c>
      <c r="Z229" s="7">
        <v>0.0</v>
      </c>
      <c r="AA229" s="7"/>
      <c r="AB229" s="7">
        <f t="shared" si="7"/>
        <v>0</v>
      </c>
      <c r="AC229" s="7">
        <v>0.0</v>
      </c>
      <c r="AD229" s="7"/>
      <c r="AE229" s="7">
        <f t="shared" si="8"/>
        <v>0</v>
      </c>
      <c r="AF229" s="11">
        <v>0.0</v>
      </c>
      <c r="AG229" s="11">
        <v>0.0</v>
      </c>
      <c r="AH229" s="11">
        <v>0.0</v>
      </c>
      <c r="AI229" s="11">
        <v>0.0</v>
      </c>
    </row>
    <row r="230" ht="30.0" customHeight="1">
      <c r="A230" s="7">
        <v>228.0</v>
      </c>
      <c r="B230" s="7">
        <v>4.7050378E7</v>
      </c>
      <c r="C230" s="7">
        <v>23.0</v>
      </c>
      <c r="D230" s="7">
        <v>70.0</v>
      </c>
      <c r="E230" s="8" t="s">
        <v>454</v>
      </c>
      <c r="F230" s="9" t="s">
        <v>455</v>
      </c>
      <c r="G230" s="7" t="s">
        <v>27</v>
      </c>
      <c r="H230" s="7">
        <v>2.0</v>
      </c>
      <c r="I230" s="11">
        <v>0.0</v>
      </c>
      <c r="J230" s="7">
        <f t="shared" si="1"/>
        <v>2</v>
      </c>
      <c r="K230" s="7">
        <v>1.0</v>
      </c>
      <c r="L230" s="7"/>
      <c r="M230" s="7">
        <f t="shared" si="2"/>
        <v>1</v>
      </c>
      <c r="N230" s="7">
        <v>1.0</v>
      </c>
      <c r="O230" s="7">
        <v>1.0</v>
      </c>
      <c r="P230" s="7">
        <f t="shared" si="3"/>
        <v>0</v>
      </c>
      <c r="Q230" s="7">
        <v>0.0</v>
      </c>
      <c r="R230" s="7"/>
      <c r="S230" s="7">
        <f t="shared" si="4"/>
        <v>0</v>
      </c>
      <c r="T230" s="7">
        <v>0.0</v>
      </c>
      <c r="U230" s="7"/>
      <c r="V230" s="7">
        <f t="shared" si="5"/>
        <v>0</v>
      </c>
      <c r="W230" s="7">
        <v>0.0</v>
      </c>
      <c r="X230" s="7"/>
      <c r="Y230" s="7">
        <f t="shared" si="6"/>
        <v>0</v>
      </c>
      <c r="Z230" s="7">
        <v>0.0</v>
      </c>
      <c r="AA230" s="7"/>
      <c r="AB230" s="7">
        <f t="shared" si="7"/>
        <v>0</v>
      </c>
      <c r="AC230" s="7">
        <v>0.0</v>
      </c>
      <c r="AD230" s="7"/>
      <c r="AE230" s="7">
        <f t="shared" si="8"/>
        <v>0</v>
      </c>
      <c r="AF230" s="7">
        <v>1.0</v>
      </c>
      <c r="AG230" s="7">
        <v>3.0</v>
      </c>
      <c r="AH230" s="7">
        <v>5.0</v>
      </c>
      <c r="AI230" s="7">
        <v>1.0</v>
      </c>
    </row>
    <row r="231" ht="30.0" customHeight="1">
      <c r="A231" s="7">
        <v>229.0</v>
      </c>
      <c r="B231" s="7">
        <v>4.7050317E7</v>
      </c>
      <c r="C231" s="7">
        <v>24.0</v>
      </c>
      <c r="D231" s="7">
        <v>70.0</v>
      </c>
      <c r="E231" s="8" t="s">
        <v>456</v>
      </c>
      <c r="F231" s="9" t="s">
        <v>457</v>
      </c>
      <c r="G231" s="7" t="s">
        <v>27</v>
      </c>
      <c r="H231" s="7">
        <v>2.0</v>
      </c>
      <c r="I231" s="7">
        <v>1.0</v>
      </c>
      <c r="J231" s="7">
        <f t="shared" si="1"/>
        <v>2</v>
      </c>
      <c r="K231" s="7">
        <v>1.0</v>
      </c>
      <c r="L231" s="7"/>
      <c r="M231" s="7">
        <f t="shared" si="2"/>
        <v>1</v>
      </c>
      <c r="N231" s="7">
        <v>1.0</v>
      </c>
      <c r="O231" s="7"/>
      <c r="P231" s="7">
        <f t="shared" si="3"/>
        <v>1</v>
      </c>
      <c r="Q231" s="7">
        <v>0.0</v>
      </c>
      <c r="R231" s="7"/>
      <c r="S231" s="7">
        <f t="shared" si="4"/>
        <v>0</v>
      </c>
      <c r="T231" s="7">
        <v>0.0</v>
      </c>
      <c r="U231" s="7"/>
      <c r="V231" s="7">
        <f t="shared" si="5"/>
        <v>0</v>
      </c>
      <c r="W231" s="7">
        <v>0.0</v>
      </c>
      <c r="X231" s="7"/>
      <c r="Y231" s="7">
        <f t="shared" si="6"/>
        <v>0</v>
      </c>
      <c r="Z231" s="7">
        <v>0.0</v>
      </c>
      <c r="AA231" s="7"/>
      <c r="AB231" s="7">
        <f t="shared" si="7"/>
        <v>0</v>
      </c>
      <c r="AC231" s="7">
        <v>0.0</v>
      </c>
      <c r="AD231" s="7"/>
      <c r="AE231" s="7">
        <f t="shared" si="8"/>
        <v>0</v>
      </c>
      <c r="AF231" s="10"/>
      <c r="AG231" s="10"/>
      <c r="AH231" s="10"/>
      <c r="AI231" s="10"/>
    </row>
    <row r="232" ht="30.0" customHeight="1">
      <c r="A232" s="7">
        <v>230.0</v>
      </c>
      <c r="B232" s="7">
        <v>4.7360471E7</v>
      </c>
      <c r="C232" s="7">
        <v>24.0</v>
      </c>
      <c r="D232" s="7">
        <v>70.0</v>
      </c>
      <c r="E232" s="8" t="s">
        <v>458</v>
      </c>
      <c r="F232" s="9" t="s">
        <v>459</v>
      </c>
      <c r="G232" s="7" t="s">
        <v>27</v>
      </c>
      <c r="H232" s="7">
        <v>1.0</v>
      </c>
      <c r="I232" s="7">
        <v>2.0</v>
      </c>
      <c r="J232" s="7">
        <f t="shared" si="1"/>
        <v>1</v>
      </c>
      <c r="K232" s="7">
        <v>1.0</v>
      </c>
      <c r="L232" s="7"/>
      <c r="M232" s="7">
        <f t="shared" si="2"/>
        <v>1</v>
      </c>
      <c r="N232" s="7">
        <v>0.0</v>
      </c>
      <c r="O232" s="7"/>
      <c r="P232" s="7">
        <f t="shared" si="3"/>
        <v>0</v>
      </c>
      <c r="Q232" s="7">
        <v>0.0</v>
      </c>
      <c r="R232" s="7"/>
      <c r="S232" s="7">
        <f t="shared" si="4"/>
        <v>0</v>
      </c>
      <c r="T232" s="7">
        <v>0.0</v>
      </c>
      <c r="U232" s="7"/>
      <c r="V232" s="7">
        <f t="shared" si="5"/>
        <v>0</v>
      </c>
      <c r="W232" s="7">
        <v>0.0</v>
      </c>
      <c r="X232" s="7"/>
      <c r="Y232" s="7">
        <f t="shared" si="6"/>
        <v>0</v>
      </c>
      <c r="Z232" s="7">
        <v>0.0</v>
      </c>
      <c r="AA232" s="7"/>
      <c r="AB232" s="7">
        <f t="shared" si="7"/>
        <v>0</v>
      </c>
      <c r="AC232" s="7">
        <v>0.0</v>
      </c>
      <c r="AD232" s="7"/>
      <c r="AE232" s="7">
        <f t="shared" si="8"/>
        <v>0</v>
      </c>
      <c r="AF232" s="10"/>
      <c r="AG232" s="10"/>
      <c r="AH232" s="10"/>
      <c r="AI232" s="10"/>
    </row>
    <row r="233" ht="30.0" customHeight="1">
      <c r="A233" s="7">
        <v>231.0</v>
      </c>
      <c r="B233" s="7">
        <v>6.3680026E7</v>
      </c>
      <c r="C233" s="7">
        <v>23.0</v>
      </c>
      <c r="D233" s="7">
        <v>70.0</v>
      </c>
      <c r="E233" s="8" t="s">
        <v>460</v>
      </c>
      <c r="F233" s="9" t="s">
        <v>461</v>
      </c>
      <c r="G233" s="7" t="s">
        <v>27</v>
      </c>
      <c r="H233" s="7">
        <v>3.0</v>
      </c>
      <c r="I233" s="11">
        <v>0.0</v>
      </c>
      <c r="J233" s="7">
        <f t="shared" si="1"/>
        <v>2</v>
      </c>
      <c r="K233" s="7">
        <v>2.0</v>
      </c>
      <c r="L233" s="7"/>
      <c r="M233" s="7">
        <f t="shared" si="2"/>
        <v>2</v>
      </c>
      <c r="N233" s="7">
        <v>0.0</v>
      </c>
      <c r="O233" s="7"/>
      <c r="P233" s="7">
        <f t="shared" si="3"/>
        <v>0</v>
      </c>
      <c r="Q233" s="7">
        <v>0.0</v>
      </c>
      <c r="R233" s="7"/>
      <c r="S233" s="7">
        <f t="shared" si="4"/>
        <v>0</v>
      </c>
      <c r="T233" s="7">
        <v>0.0</v>
      </c>
      <c r="U233" s="7"/>
      <c r="V233" s="7">
        <f t="shared" si="5"/>
        <v>0</v>
      </c>
      <c r="W233" s="7">
        <v>0.0</v>
      </c>
      <c r="X233" s="7"/>
      <c r="Y233" s="7">
        <f t="shared" si="6"/>
        <v>0</v>
      </c>
      <c r="Z233" s="7">
        <v>0.0</v>
      </c>
      <c r="AA233" s="7"/>
      <c r="AB233" s="7">
        <f t="shared" si="7"/>
        <v>0</v>
      </c>
      <c r="AC233" s="7">
        <v>0.0</v>
      </c>
      <c r="AD233" s="7"/>
      <c r="AE233" s="7">
        <f t="shared" si="8"/>
        <v>0</v>
      </c>
      <c r="AF233" s="7">
        <v>1.0</v>
      </c>
      <c r="AG233" s="7">
        <v>8.0</v>
      </c>
      <c r="AH233" s="7">
        <v>2.0</v>
      </c>
      <c r="AI233" s="11">
        <v>0.0</v>
      </c>
    </row>
    <row r="234" ht="30.0" customHeight="1">
      <c r="A234" s="7">
        <v>232.0</v>
      </c>
      <c r="B234" s="7">
        <v>4.7360021E7</v>
      </c>
      <c r="C234" s="7">
        <v>24.0</v>
      </c>
      <c r="D234" s="7">
        <v>70.0</v>
      </c>
      <c r="E234" s="8" t="s">
        <v>462</v>
      </c>
      <c r="F234" s="9" t="s">
        <v>463</v>
      </c>
      <c r="G234" s="7" t="s">
        <v>27</v>
      </c>
      <c r="H234" s="7">
        <v>3.0</v>
      </c>
      <c r="I234" s="11">
        <v>0.0</v>
      </c>
      <c r="J234" s="7">
        <f t="shared" si="1"/>
        <v>2</v>
      </c>
      <c r="K234" s="7">
        <v>2.0</v>
      </c>
      <c r="L234" s="7"/>
      <c r="M234" s="7">
        <f t="shared" si="2"/>
        <v>2</v>
      </c>
      <c r="N234" s="7">
        <v>0.0</v>
      </c>
      <c r="O234" s="7"/>
      <c r="P234" s="7">
        <f t="shared" si="3"/>
        <v>0</v>
      </c>
      <c r="Q234" s="7">
        <v>0.0</v>
      </c>
      <c r="R234" s="7"/>
      <c r="S234" s="7">
        <f t="shared" si="4"/>
        <v>0</v>
      </c>
      <c r="T234" s="7">
        <v>0.0</v>
      </c>
      <c r="U234" s="7"/>
      <c r="V234" s="7">
        <f t="shared" si="5"/>
        <v>0</v>
      </c>
      <c r="W234" s="7">
        <v>0.0</v>
      </c>
      <c r="X234" s="7"/>
      <c r="Y234" s="7">
        <f t="shared" si="6"/>
        <v>0</v>
      </c>
      <c r="Z234" s="7">
        <v>0.0</v>
      </c>
      <c r="AA234" s="7"/>
      <c r="AB234" s="7">
        <f t="shared" si="7"/>
        <v>0</v>
      </c>
      <c r="AC234" s="7">
        <v>0.0</v>
      </c>
      <c r="AD234" s="7"/>
      <c r="AE234" s="7">
        <f t="shared" si="8"/>
        <v>0</v>
      </c>
      <c r="AF234" s="7">
        <v>2.0</v>
      </c>
      <c r="AG234" s="7">
        <v>3.0</v>
      </c>
      <c r="AH234" s="7">
        <v>5.0</v>
      </c>
      <c r="AI234" s="11">
        <v>0.0</v>
      </c>
    </row>
    <row r="235" ht="30.0" customHeight="1">
      <c r="A235" s="7">
        <v>233.0</v>
      </c>
      <c r="B235" s="7">
        <v>4.736001E7</v>
      </c>
      <c r="C235" s="7">
        <v>24.0</v>
      </c>
      <c r="D235" s="7">
        <v>70.0</v>
      </c>
      <c r="E235" s="8" t="s">
        <v>464</v>
      </c>
      <c r="F235" s="9" t="s">
        <v>465</v>
      </c>
      <c r="G235" s="7" t="s">
        <v>27</v>
      </c>
      <c r="H235" s="7">
        <v>2.0</v>
      </c>
      <c r="I235" s="7">
        <v>2.0</v>
      </c>
      <c r="J235" s="7">
        <f t="shared" si="1"/>
        <v>2</v>
      </c>
      <c r="K235" s="7">
        <v>2.0</v>
      </c>
      <c r="L235" s="7"/>
      <c r="M235" s="7">
        <f t="shared" si="2"/>
        <v>2</v>
      </c>
      <c r="N235" s="7">
        <v>0.0</v>
      </c>
      <c r="O235" s="7"/>
      <c r="P235" s="7">
        <f t="shared" si="3"/>
        <v>0</v>
      </c>
      <c r="Q235" s="7">
        <v>0.0</v>
      </c>
      <c r="R235" s="7"/>
      <c r="S235" s="7">
        <f t="shared" si="4"/>
        <v>0</v>
      </c>
      <c r="T235" s="7">
        <v>0.0</v>
      </c>
      <c r="U235" s="7"/>
      <c r="V235" s="7">
        <f t="shared" si="5"/>
        <v>0</v>
      </c>
      <c r="W235" s="7">
        <v>0.0</v>
      </c>
      <c r="X235" s="7"/>
      <c r="Y235" s="7">
        <f t="shared" si="6"/>
        <v>0</v>
      </c>
      <c r="Z235" s="7">
        <v>0.0</v>
      </c>
      <c r="AA235" s="7"/>
      <c r="AB235" s="7">
        <f t="shared" si="7"/>
        <v>0</v>
      </c>
      <c r="AC235" s="7">
        <v>0.0</v>
      </c>
      <c r="AD235" s="7"/>
      <c r="AE235" s="7">
        <f t="shared" si="8"/>
        <v>0</v>
      </c>
      <c r="AF235" s="10"/>
      <c r="AG235" s="10"/>
      <c r="AH235" s="10"/>
      <c r="AI235" s="10"/>
    </row>
    <row r="236" ht="30.0" customHeight="1">
      <c r="A236" s="7">
        <v>234.0</v>
      </c>
      <c r="B236" s="7">
        <v>4.7240647E7</v>
      </c>
      <c r="C236" s="7">
        <v>24.0</v>
      </c>
      <c r="D236" s="7">
        <v>70.0</v>
      </c>
      <c r="E236" s="8" t="s">
        <v>466</v>
      </c>
      <c r="F236" s="9" t="s">
        <v>467</v>
      </c>
      <c r="G236" s="7" t="s">
        <v>27</v>
      </c>
      <c r="H236" s="7">
        <v>4.0</v>
      </c>
      <c r="I236" s="7">
        <v>1.0</v>
      </c>
      <c r="J236" s="7">
        <f t="shared" si="1"/>
        <v>4</v>
      </c>
      <c r="K236" s="7">
        <v>1.0</v>
      </c>
      <c r="L236" s="7"/>
      <c r="M236" s="7">
        <f t="shared" si="2"/>
        <v>1</v>
      </c>
      <c r="N236" s="7">
        <v>3.0</v>
      </c>
      <c r="O236" s="7"/>
      <c r="P236" s="7">
        <f t="shared" si="3"/>
        <v>3</v>
      </c>
      <c r="Q236" s="7">
        <v>0.0</v>
      </c>
      <c r="R236" s="7"/>
      <c r="S236" s="7">
        <f t="shared" si="4"/>
        <v>0</v>
      </c>
      <c r="T236" s="7">
        <v>0.0</v>
      </c>
      <c r="U236" s="7"/>
      <c r="V236" s="7">
        <f t="shared" si="5"/>
        <v>0</v>
      </c>
      <c r="W236" s="7">
        <v>0.0</v>
      </c>
      <c r="X236" s="7"/>
      <c r="Y236" s="7">
        <f t="shared" si="6"/>
        <v>0</v>
      </c>
      <c r="Z236" s="7">
        <v>0.0</v>
      </c>
      <c r="AA236" s="7"/>
      <c r="AB236" s="7">
        <f t="shared" si="7"/>
        <v>0</v>
      </c>
      <c r="AC236" s="7">
        <v>0.0</v>
      </c>
      <c r="AD236" s="7"/>
      <c r="AE236" s="7">
        <f t="shared" si="8"/>
        <v>0</v>
      </c>
      <c r="AF236" s="10"/>
      <c r="AG236" s="10"/>
      <c r="AH236" s="10"/>
      <c r="AI236" s="10"/>
    </row>
    <row r="237" ht="30.0" customHeight="1">
      <c r="A237" s="7">
        <v>235.0</v>
      </c>
      <c r="B237" s="7">
        <v>4.72406E7</v>
      </c>
      <c r="C237" s="7">
        <v>24.0</v>
      </c>
      <c r="D237" s="7">
        <v>70.0</v>
      </c>
      <c r="E237" s="8" t="s">
        <v>468</v>
      </c>
      <c r="F237" s="9" t="s">
        <v>468</v>
      </c>
      <c r="G237" s="7" t="s">
        <v>27</v>
      </c>
      <c r="H237" s="7">
        <v>8.0</v>
      </c>
      <c r="I237" s="7">
        <v>5.0</v>
      </c>
      <c r="J237" s="7">
        <f t="shared" si="1"/>
        <v>2</v>
      </c>
      <c r="K237" s="7">
        <v>0.0</v>
      </c>
      <c r="L237" s="7"/>
      <c r="M237" s="7">
        <f t="shared" si="2"/>
        <v>0</v>
      </c>
      <c r="N237" s="7">
        <v>2.0</v>
      </c>
      <c r="O237" s="7"/>
      <c r="P237" s="7">
        <f t="shared" si="3"/>
        <v>2</v>
      </c>
      <c r="Q237" s="7">
        <v>0.0</v>
      </c>
      <c r="R237" s="7"/>
      <c r="S237" s="7">
        <f t="shared" si="4"/>
        <v>0</v>
      </c>
      <c r="T237" s="7">
        <v>0.0</v>
      </c>
      <c r="U237" s="7"/>
      <c r="V237" s="7">
        <f t="shared" si="5"/>
        <v>0</v>
      </c>
      <c r="W237" s="7">
        <v>0.0</v>
      </c>
      <c r="X237" s="7"/>
      <c r="Y237" s="7">
        <f t="shared" si="6"/>
        <v>0</v>
      </c>
      <c r="Z237" s="7">
        <v>0.0</v>
      </c>
      <c r="AA237" s="7"/>
      <c r="AB237" s="7">
        <f t="shared" si="7"/>
        <v>0</v>
      </c>
      <c r="AC237" s="7">
        <v>0.0</v>
      </c>
      <c r="AD237" s="7"/>
      <c r="AE237" s="7">
        <f t="shared" si="8"/>
        <v>0</v>
      </c>
      <c r="AF237" s="10"/>
      <c r="AG237" s="10"/>
      <c r="AH237" s="10"/>
      <c r="AI237" s="10"/>
    </row>
    <row r="238" ht="30.0" customHeight="1">
      <c r="A238" s="7">
        <v>236.0</v>
      </c>
      <c r="B238" s="7">
        <v>4.7240581E7</v>
      </c>
      <c r="C238" s="7">
        <v>24.0</v>
      </c>
      <c r="D238" s="7">
        <v>70.0</v>
      </c>
      <c r="E238" s="8" t="s">
        <v>469</v>
      </c>
      <c r="F238" s="9" t="s">
        <v>469</v>
      </c>
      <c r="G238" s="7" t="s">
        <v>27</v>
      </c>
      <c r="H238" s="7">
        <v>2.0</v>
      </c>
      <c r="I238" s="11">
        <v>0.0</v>
      </c>
      <c r="J238" s="7">
        <f t="shared" si="1"/>
        <v>2</v>
      </c>
      <c r="K238" s="7">
        <v>0.0</v>
      </c>
      <c r="L238" s="7"/>
      <c r="M238" s="7">
        <f t="shared" si="2"/>
        <v>0</v>
      </c>
      <c r="N238" s="7">
        <v>2.0</v>
      </c>
      <c r="O238" s="7"/>
      <c r="P238" s="7">
        <f t="shared" si="3"/>
        <v>2</v>
      </c>
      <c r="Q238" s="7">
        <v>0.0</v>
      </c>
      <c r="R238" s="7"/>
      <c r="S238" s="7">
        <f t="shared" si="4"/>
        <v>0</v>
      </c>
      <c r="T238" s="7">
        <v>0.0</v>
      </c>
      <c r="U238" s="7"/>
      <c r="V238" s="7">
        <f t="shared" si="5"/>
        <v>0</v>
      </c>
      <c r="W238" s="7">
        <v>0.0</v>
      </c>
      <c r="X238" s="7"/>
      <c r="Y238" s="7">
        <f t="shared" si="6"/>
        <v>0</v>
      </c>
      <c r="Z238" s="7">
        <v>0.0</v>
      </c>
      <c r="AA238" s="7"/>
      <c r="AB238" s="7">
        <f t="shared" si="7"/>
        <v>0</v>
      </c>
      <c r="AC238" s="7">
        <v>0.0</v>
      </c>
      <c r="AD238" s="7"/>
      <c r="AE238" s="7">
        <f t="shared" si="8"/>
        <v>0</v>
      </c>
      <c r="AF238" s="11">
        <v>0.0</v>
      </c>
      <c r="AG238" s="11">
        <v>0.0</v>
      </c>
      <c r="AH238" s="11">
        <v>0.0</v>
      </c>
      <c r="AI238" s="11">
        <v>0.0</v>
      </c>
    </row>
    <row r="239" ht="30.0" customHeight="1">
      <c r="A239" s="7">
        <v>237.0</v>
      </c>
      <c r="B239" s="7">
        <v>4.724057E7</v>
      </c>
      <c r="C239" s="7">
        <v>24.0</v>
      </c>
      <c r="D239" s="7">
        <v>70.0</v>
      </c>
      <c r="E239" s="8" t="s">
        <v>470</v>
      </c>
      <c r="F239" s="9" t="s">
        <v>470</v>
      </c>
      <c r="G239" s="7" t="s">
        <v>27</v>
      </c>
      <c r="H239" s="7">
        <v>2.0</v>
      </c>
      <c r="I239" s="11">
        <v>0.0</v>
      </c>
      <c r="J239" s="7">
        <f t="shared" si="1"/>
        <v>2</v>
      </c>
      <c r="K239" s="7">
        <v>0.0</v>
      </c>
      <c r="L239" s="7"/>
      <c r="M239" s="7">
        <f t="shared" si="2"/>
        <v>0</v>
      </c>
      <c r="N239" s="7">
        <v>2.0</v>
      </c>
      <c r="O239" s="7"/>
      <c r="P239" s="7">
        <f t="shared" si="3"/>
        <v>2</v>
      </c>
      <c r="Q239" s="7">
        <v>0.0</v>
      </c>
      <c r="R239" s="7"/>
      <c r="S239" s="7">
        <f t="shared" si="4"/>
        <v>0</v>
      </c>
      <c r="T239" s="7">
        <v>0.0</v>
      </c>
      <c r="U239" s="7"/>
      <c r="V239" s="7">
        <f t="shared" si="5"/>
        <v>0</v>
      </c>
      <c r="W239" s="7">
        <v>0.0</v>
      </c>
      <c r="X239" s="7"/>
      <c r="Y239" s="7">
        <f t="shared" si="6"/>
        <v>0</v>
      </c>
      <c r="Z239" s="7">
        <v>0.0</v>
      </c>
      <c r="AA239" s="7"/>
      <c r="AB239" s="7">
        <f t="shared" si="7"/>
        <v>0</v>
      </c>
      <c r="AC239" s="7">
        <v>0.0</v>
      </c>
      <c r="AD239" s="7"/>
      <c r="AE239" s="7">
        <f t="shared" si="8"/>
        <v>0</v>
      </c>
      <c r="AF239" s="11">
        <v>0.0</v>
      </c>
      <c r="AG239" s="7">
        <v>1.0</v>
      </c>
      <c r="AH239" s="11">
        <v>0.0</v>
      </c>
      <c r="AI239" s="11">
        <v>0.0</v>
      </c>
    </row>
    <row r="240" ht="30.0" customHeight="1">
      <c r="A240" s="7">
        <v>238.0</v>
      </c>
      <c r="B240" s="7">
        <v>4.7240568E7</v>
      </c>
      <c r="C240" s="7">
        <v>24.0</v>
      </c>
      <c r="D240" s="7">
        <v>70.0</v>
      </c>
      <c r="E240" s="8" t="s">
        <v>471</v>
      </c>
      <c r="F240" s="9" t="s">
        <v>471</v>
      </c>
      <c r="G240" s="7" t="s">
        <v>27</v>
      </c>
      <c r="H240" s="7">
        <v>2.0</v>
      </c>
      <c r="I240" s="11">
        <v>0.0</v>
      </c>
      <c r="J240" s="7">
        <f t="shared" si="1"/>
        <v>2</v>
      </c>
      <c r="K240" s="7">
        <v>0.0</v>
      </c>
      <c r="L240" s="7"/>
      <c r="M240" s="7">
        <f t="shared" si="2"/>
        <v>0</v>
      </c>
      <c r="N240" s="7">
        <v>2.0</v>
      </c>
      <c r="O240" s="7"/>
      <c r="P240" s="7">
        <f t="shared" si="3"/>
        <v>2</v>
      </c>
      <c r="Q240" s="7">
        <v>0.0</v>
      </c>
      <c r="R240" s="7"/>
      <c r="S240" s="7">
        <f t="shared" si="4"/>
        <v>0</v>
      </c>
      <c r="T240" s="7">
        <v>0.0</v>
      </c>
      <c r="U240" s="7"/>
      <c r="V240" s="7">
        <f t="shared" si="5"/>
        <v>0</v>
      </c>
      <c r="W240" s="7">
        <v>0.0</v>
      </c>
      <c r="X240" s="7"/>
      <c r="Y240" s="7">
        <f t="shared" si="6"/>
        <v>0</v>
      </c>
      <c r="Z240" s="7">
        <v>0.0</v>
      </c>
      <c r="AA240" s="7"/>
      <c r="AB240" s="7">
        <f t="shared" si="7"/>
        <v>0</v>
      </c>
      <c r="AC240" s="7">
        <v>0.0</v>
      </c>
      <c r="AD240" s="7"/>
      <c r="AE240" s="7">
        <f t="shared" si="8"/>
        <v>0</v>
      </c>
      <c r="AF240" s="11">
        <v>0.0</v>
      </c>
      <c r="AG240" s="7">
        <v>1.0</v>
      </c>
      <c r="AH240" s="11">
        <v>0.0</v>
      </c>
      <c r="AI240" s="11">
        <v>0.0</v>
      </c>
    </row>
    <row r="241" ht="30.0" customHeight="1">
      <c r="A241" s="7">
        <v>239.0</v>
      </c>
      <c r="B241" s="7">
        <v>4.7240556E7</v>
      </c>
      <c r="C241" s="7">
        <v>24.0</v>
      </c>
      <c r="D241" s="7">
        <v>70.0</v>
      </c>
      <c r="E241" s="8" t="s">
        <v>472</v>
      </c>
      <c r="F241" s="9" t="s">
        <v>472</v>
      </c>
      <c r="G241" s="7" t="s">
        <v>27</v>
      </c>
      <c r="H241" s="7">
        <v>2.0</v>
      </c>
      <c r="I241" s="11">
        <v>0.0</v>
      </c>
      <c r="J241" s="7">
        <f t="shared" si="1"/>
        <v>2</v>
      </c>
      <c r="K241" s="7">
        <v>0.0</v>
      </c>
      <c r="L241" s="7"/>
      <c r="M241" s="7">
        <f t="shared" si="2"/>
        <v>0</v>
      </c>
      <c r="N241" s="7">
        <v>2.0</v>
      </c>
      <c r="O241" s="7"/>
      <c r="P241" s="7">
        <f t="shared" si="3"/>
        <v>2</v>
      </c>
      <c r="Q241" s="7">
        <v>0.0</v>
      </c>
      <c r="R241" s="7"/>
      <c r="S241" s="7">
        <f t="shared" si="4"/>
        <v>0</v>
      </c>
      <c r="T241" s="7">
        <v>0.0</v>
      </c>
      <c r="U241" s="7"/>
      <c r="V241" s="7">
        <f t="shared" si="5"/>
        <v>0</v>
      </c>
      <c r="W241" s="7">
        <v>0.0</v>
      </c>
      <c r="X241" s="7"/>
      <c r="Y241" s="7">
        <f t="shared" si="6"/>
        <v>0</v>
      </c>
      <c r="Z241" s="7">
        <v>0.0</v>
      </c>
      <c r="AA241" s="7"/>
      <c r="AB241" s="7">
        <f t="shared" si="7"/>
        <v>0</v>
      </c>
      <c r="AC241" s="7">
        <v>0.0</v>
      </c>
      <c r="AD241" s="7"/>
      <c r="AE241" s="7">
        <f t="shared" si="8"/>
        <v>0</v>
      </c>
      <c r="AF241" s="11">
        <v>0.0</v>
      </c>
      <c r="AG241" s="7">
        <v>2.0</v>
      </c>
      <c r="AH241" s="11">
        <v>0.0</v>
      </c>
      <c r="AI241" s="11">
        <v>0.0</v>
      </c>
    </row>
    <row r="242" ht="30.0" customHeight="1">
      <c r="A242" s="7">
        <v>240.0</v>
      </c>
      <c r="B242" s="7">
        <v>4.7240854E7</v>
      </c>
      <c r="C242" s="7">
        <v>23.0</v>
      </c>
      <c r="D242" s="7">
        <v>70.0</v>
      </c>
      <c r="E242" s="8" t="s">
        <v>473</v>
      </c>
      <c r="F242" s="9" t="s">
        <v>473</v>
      </c>
      <c r="G242" s="7" t="s">
        <v>27</v>
      </c>
      <c r="H242" s="7">
        <v>2.0</v>
      </c>
      <c r="I242" s="11">
        <v>0.0</v>
      </c>
      <c r="J242" s="7">
        <f t="shared" si="1"/>
        <v>0</v>
      </c>
      <c r="K242" s="7">
        <v>0.0</v>
      </c>
      <c r="L242" s="7"/>
      <c r="M242" s="7">
        <f t="shared" si="2"/>
        <v>0</v>
      </c>
      <c r="N242" s="7">
        <v>0.0</v>
      </c>
      <c r="O242" s="7"/>
      <c r="P242" s="7">
        <f t="shared" si="3"/>
        <v>0</v>
      </c>
      <c r="Q242" s="7">
        <v>0.0</v>
      </c>
      <c r="R242" s="7"/>
      <c r="S242" s="7">
        <f t="shared" si="4"/>
        <v>0</v>
      </c>
      <c r="T242" s="7">
        <v>0.0</v>
      </c>
      <c r="U242" s="7"/>
      <c r="V242" s="7">
        <f t="shared" si="5"/>
        <v>0</v>
      </c>
      <c r="W242" s="7">
        <v>0.0</v>
      </c>
      <c r="X242" s="7"/>
      <c r="Y242" s="7">
        <f t="shared" si="6"/>
        <v>0</v>
      </c>
      <c r="Z242" s="7">
        <v>0.0</v>
      </c>
      <c r="AA242" s="7"/>
      <c r="AB242" s="7">
        <f t="shared" si="7"/>
        <v>0</v>
      </c>
      <c r="AC242" s="7">
        <v>0.0</v>
      </c>
      <c r="AD242" s="7"/>
      <c r="AE242" s="7">
        <f t="shared" si="8"/>
        <v>0</v>
      </c>
      <c r="AF242" s="11">
        <v>0.0</v>
      </c>
      <c r="AG242" s="11">
        <v>0.0</v>
      </c>
      <c r="AH242" s="11">
        <v>0.0</v>
      </c>
      <c r="AI242" s="11">
        <v>0.0</v>
      </c>
    </row>
    <row r="243" ht="30.0" customHeight="1">
      <c r="A243" s="7">
        <v>241.0</v>
      </c>
      <c r="B243" s="7">
        <v>4.7240842E7</v>
      </c>
      <c r="C243" s="7">
        <v>23.0</v>
      </c>
      <c r="D243" s="7">
        <v>70.0</v>
      </c>
      <c r="E243" s="8" t="s">
        <v>474</v>
      </c>
      <c r="F243" s="9" t="s">
        <v>474</v>
      </c>
      <c r="G243" s="7" t="s">
        <v>27</v>
      </c>
      <c r="H243" s="7">
        <v>4.0</v>
      </c>
      <c r="I243" s="11">
        <v>0.0</v>
      </c>
      <c r="J243" s="7">
        <f t="shared" si="1"/>
        <v>0</v>
      </c>
      <c r="K243" s="7">
        <v>0.0</v>
      </c>
      <c r="L243" s="7"/>
      <c r="M243" s="7">
        <f t="shared" si="2"/>
        <v>0</v>
      </c>
      <c r="N243" s="7">
        <v>0.0</v>
      </c>
      <c r="O243" s="7"/>
      <c r="P243" s="7">
        <f t="shared" si="3"/>
        <v>0</v>
      </c>
      <c r="Q243" s="7">
        <v>0.0</v>
      </c>
      <c r="R243" s="7"/>
      <c r="S243" s="7">
        <f t="shared" si="4"/>
        <v>0</v>
      </c>
      <c r="T243" s="7">
        <v>0.0</v>
      </c>
      <c r="U243" s="7"/>
      <c r="V243" s="7">
        <f t="shared" si="5"/>
        <v>0</v>
      </c>
      <c r="W243" s="7">
        <v>0.0</v>
      </c>
      <c r="X243" s="7"/>
      <c r="Y243" s="7">
        <f t="shared" si="6"/>
        <v>0</v>
      </c>
      <c r="Z243" s="7">
        <v>0.0</v>
      </c>
      <c r="AA243" s="7"/>
      <c r="AB243" s="7">
        <f t="shared" si="7"/>
        <v>0</v>
      </c>
      <c r="AC243" s="7">
        <v>0.0</v>
      </c>
      <c r="AD243" s="7"/>
      <c r="AE243" s="7">
        <f t="shared" si="8"/>
        <v>0</v>
      </c>
      <c r="AF243" s="11">
        <v>0.0</v>
      </c>
      <c r="AG243" s="11">
        <v>0.0</v>
      </c>
      <c r="AH243" s="11">
        <v>0.0</v>
      </c>
      <c r="AI243" s="11">
        <v>0.0</v>
      </c>
    </row>
    <row r="244" ht="30.0" customHeight="1">
      <c r="A244" s="7">
        <v>242.0</v>
      </c>
      <c r="B244" s="7">
        <v>4.7240787E7</v>
      </c>
      <c r="C244" s="7">
        <v>23.0</v>
      </c>
      <c r="D244" s="7">
        <v>70.0</v>
      </c>
      <c r="E244" s="8" t="s">
        <v>475</v>
      </c>
      <c r="F244" s="9" t="s">
        <v>475</v>
      </c>
      <c r="G244" s="7" t="s">
        <v>27</v>
      </c>
      <c r="H244" s="7">
        <v>6.0</v>
      </c>
      <c r="I244" s="11">
        <v>0.0</v>
      </c>
      <c r="J244" s="7">
        <f t="shared" si="1"/>
        <v>0</v>
      </c>
      <c r="K244" s="7">
        <v>0.0</v>
      </c>
      <c r="L244" s="7"/>
      <c r="M244" s="7">
        <f t="shared" si="2"/>
        <v>0</v>
      </c>
      <c r="N244" s="7">
        <v>0.0</v>
      </c>
      <c r="O244" s="7"/>
      <c r="P244" s="7">
        <f t="shared" si="3"/>
        <v>0</v>
      </c>
      <c r="Q244" s="7">
        <v>0.0</v>
      </c>
      <c r="R244" s="7"/>
      <c r="S244" s="7">
        <f t="shared" si="4"/>
        <v>0</v>
      </c>
      <c r="T244" s="7">
        <v>0.0</v>
      </c>
      <c r="U244" s="7"/>
      <c r="V244" s="7">
        <f t="shared" si="5"/>
        <v>0</v>
      </c>
      <c r="W244" s="7">
        <v>0.0</v>
      </c>
      <c r="X244" s="7"/>
      <c r="Y244" s="7">
        <f t="shared" si="6"/>
        <v>0</v>
      </c>
      <c r="Z244" s="7">
        <v>0.0</v>
      </c>
      <c r="AA244" s="7"/>
      <c r="AB244" s="7">
        <f t="shared" si="7"/>
        <v>0</v>
      </c>
      <c r="AC244" s="7">
        <v>0.0</v>
      </c>
      <c r="AD244" s="7"/>
      <c r="AE244" s="7">
        <f t="shared" si="8"/>
        <v>0</v>
      </c>
      <c r="AF244" s="11">
        <v>0.0</v>
      </c>
      <c r="AG244" s="11">
        <v>0.0</v>
      </c>
      <c r="AH244" s="11">
        <v>0.0</v>
      </c>
      <c r="AI244" s="11">
        <v>0.0</v>
      </c>
    </row>
    <row r="245" ht="30.0" customHeight="1">
      <c r="A245" s="7">
        <v>243.0</v>
      </c>
      <c r="B245" s="7">
        <v>4.7240532E7</v>
      </c>
      <c r="C245" s="7">
        <v>24.0</v>
      </c>
      <c r="D245" s="7">
        <v>70.0</v>
      </c>
      <c r="E245" s="8" t="s">
        <v>476</v>
      </c>
      <c r="F245" s="9" t="s">
        <v>476</v>
      </c>
      <c r="G245" s="7" t="s">
        <v>27</v>
      </c>
      <c r="H245" s="7">
        <v>2.0</v>
      </c>
      <c r="I245" s="11">
        <v>0.0</v>
      </c>
      <c r="J245" s="7">
        <f t="shared" si="1"/>
        <v>0</v>
      </c>
      <c r="K245" s="7">
        <v>0.0</v>
      </c>
      <c r="L245" s="7"/>
      <c r="M245" s="7">
        <f t="shared" si="2"/>
        <v>0</v>
      </c>
      <c r="N245" s="7">
        <v>0.0</v>
      </c>
      <c r="O245" s="7"/>
      <c r="P245" s="7">
        <f t="shared" si="3"/>
        <v>0</v>
      </c>
      <c r="Q245" s="7">
        <v>0.0</v>
      </c>
      <c r="R245" s="7"/>
      <c r="S245" s="7">
        <f t="shared" si="4"/>
        <v>0</v>
      </c>
      <c r="T245" s="7">
        <v>0.0</v>
      </c>
      <c r="U245" s="7"/>
      <c r="V245" s="7">
        <f t="shared" si="5"/>
        <v>0</v>
      </c>
      <c r="W245" s="7">
        <v>0.0</v>
      </c>
      <c r="X245" s="7"/>
      <c r="Y245" s="7">
        <f t="shared" si="6"/>
        <v>0</v>
      </c>
      <c r="Z245" s="7">
        <v>0.0</v>
      </c>
      <c r="AA245" s="7"/>
      <c r="AB245" s="7">
        <f t="shared" si="7"/>
        <v>0</v>
      </c>
      <c r="AC245" s="7">
        <v>0.0</v>
      </c>
      <c r="AD245" s="7"/>
      <c r="AE245" s="7">
        <f t="shared" si="8"/>
        <v>0</v>
      </c>
      <c r="AF245" s="11">
        <v>0.0</v>
      </c>
      <c r="AG245" s="11">
        <v>0.0</v>
      </c>
      <c r="AH245" s="11">
        <v>0.0</v>
      </c>
      <c r="AI245" s="11">
        <v>0.0</v>
      </c>
    </row>
    <row r="246" ht="30.0" customHeight="1">
      <c r="A246" s="7">
        <v>244.0</v>
      </c>
      <c r="B246" s="7">
        <v>4.724052E7</v>
      </c>
      <c r="C246" s="7">
        <v>24.0</v>
      </c>
      <c r="D246" s="7">
        <v>70.0</v>
      </c>
      <c r="E246" s="8" t="s">
        <v>477</v>
      </c>
      <c r="F246" s="9" t="s">
        <v>477</v>
      </c>
      <c r="G246" s="7" t="s">
        <v>27</v>
      </c>
      <c r="H246" s="7">
        <v>2.0</v>
      </c>
      <c r="I246" s="11">
        <v>0.0</v>
      </c>
      <c r="J246" s="7">
        <f t="shared" si="1"/>
        <v>2</v>
      </c>
      <c r="K246" s="7">
        <v>0.0</v>
      </c>
      <c r="L246" s="7"/>
      <c r="M246" s="7">
        <f t="shared" si="2"/>
        <v>0</v>
      </c>
      <c r="N246" s="7">
        <v>2.0</v>
      </c>
      <c r="O246" s="7"/>
      <c r="P246" s="7">
        <f t="shared" si="3"/>
        <v>2</v>
      </c>
      <c r="Q246" s="7">
        <v>0.0</v>
      </c>
      <c r="R246" s="7"/>
      <c r="S246" s="7">
        <f t="shared" si="4"/>
        <v>0</v>
      </c>
      <c r="T246" s="7">
        <v>0.0</v>
      </c>
      <c r="U246" s="7"/>
      <c r="V246" s="7">
        <f t="shared" si="5"/>
        <v>0</v>
      </c>
      <c r="W246" s="7">
        <v>0.0</v>
      </c>
      <c r="X246" s="7"/>
      <c r="Y246" s="7">
        <f t="shared" si="6"/>
        <v>0</v>
      </c>
      <c r="Z246" s="7">
        <v>0.0</v>
      </c>
      <c r="AA246" s="7"/>
      <c r="AB246" s="7">
        <f t="shared" si="7"/>
        <v>0</v>
      </c>
      <c r="AC246" s="7">
        <v>0.0</v>
      </c>
      <c r="AD246" s="7"/>
      <c r="AE246" s="7">
        <f t="shared" si="8"/>
        <v>0</v>
      </c>
      <c r="AF246" s="11">
        <v>0.0</v>
      </c>
      <c r="AG246" s="7">
        <v>1.0</v>
      </c>
      <c r="AH246" s="11">
        <v>0.0</v>
      </c>
      <c r="AI246" s="11">
        <v>0.0</v>
      </c>
    </row>
    <row r="247" ht="30.0" customHeight="1">
      <c r="A247" s="7">
        <v>245.0</v>
      </c>
      <c r="B247" s="7">
        <v>4.7240222E7</v>
      </c>
      <c r="C247" s="7">
        <v>24.0</v>
      </c>
      <c r="D247" s="7">
        <v>70.0</v>
      </c>
      <c r="E247" s="8" t="s">
        <v>478</v>
      </c>
      <c r="F247" s="9" t="s">
        <v>478</v>
      </c>
      <c r="G247" s="7" t="s">
        <v>27</v>
      </c>
      <c r="H247" s="7">
        <v>2.0</v>
      </c>
      <c r="I247" s="11">
        <v>0.0</v>
      </c>
      <c r="J247" s="7">
        <f t="shared" si="1"/>
        <v>0</v>
      </c>
      <c r="K247" s="7">
        <v>0.0</v>
      </c>
      <c r="L247" s="7"/>
      <c r="M247" s="7">
        <f t="shared" si="2"/>
        <v>0</v>
      </c>
      <c r="N247" s="7">
        <v>0.0</v>
      </c>
      <c r="O247" s="7"/>
      <c r="P247" s="7">
        <f t="shared" si="3"/>
        <v>0</v>
      </c>
      <c r="Q247" s="7">
        <v>0.0</v>
      </c>
      <c r="R247" s="7"/>
      <c r="S247" s="7">
        <f t="shared" si="4"/>
        <v>0</v>
      </c>
      <c r="T247" s="7">
        <v>0.0</v>
      </c>
      <c r="U247" s="7"/>
      <c r="V247" s="7">
        <f t="shared" si="5"/>
        <v>0</v>
      </c>
      <c r="W247" s="7">
        <v>0.0</v>
      </c>
      <c r="X247" s="7"/>
      <c r="Y247" s="7">
        <f t="shared" si="6"/>
        <v>0</v>
      </c>
      <c r="Z247" s="7">
        <v>0.0</v>
      </c>
      <c r="AA247" s="7"/>
      <c r="AB247" s="7">
        <f t="shared" si="7"/>
        <v>0</v>
      </c>
      <c r="AC247" s="7">
        <v>0.0</v>
      </c>
      <c r="AD247" s="7"/>
      <c r="AE247" s="7">
        <f t="shared" si="8"/>
        <v>0</v>
      </c>
      <c r="AF247" s="7">
        <v>1.0</v>
      </c>
      <c r="AG247" s="11">
        <v>0.0</v>
      </c>
      <c r="AH247" s="11">
        <v>0.0</v>
      </c>
      <c r="AI247" s="11">
        <v>0.0</v>
      </c>
    </row>
    <row r="248" ht="30.0" customHeight="1">
      <c r="A248" s="7">
        <v>246.0</v>
      </c>
      <c r="B248" s="7">
        <v>4.7240155E7</v>
      </c>
      <c r="C248" s="7">
        <v>24.0</v>
      </c>
      <c r="D248" s="7">
        <v>70.0</v>
      </c>
      <c r="E248" s="8" t="s">
        <v>479</v>
      </c>
      <c r="F248" s="9" t="s">
        <v>479</v>
      </c>
      <c r="G248" s="7" t="s">
        <v>27</v>
      </c>
      <c r="H248" s="7">
        <v>2.0</v>
      </c>
      <c r="I248" s="11">
        <v>0.0</v>
      </c>
      <c r="J248" s="7">
        <f t="shared" si="1"/>
        <v>0</v>
      </c>
      <c r="K248" s="7">
        <v>0.0</v>
      </c>
      <c r="L248" s="7"/>
      <c r="M248" s="7">
        <f t="shared" si="2"/>
        <v>0</v>
      </c>
      <c r="N248" s="7">
        <v>0.0</v>
      </c>
      <c r="O248" s="7"/>
      <c r="P248" s="7">
        <f t="shared" si="3"/>
        <v>0</v>
      </c>
      <c r="Q248" s="7">
        <v>0.0</v>
      </c>
      <c r="R248" s="7"/>
      <c r="S248" s="7">
        <f t="shared" si="4"/>
        <v>0</v>
      </c>
      <c r="T248" s="7">
        <v>0.0</v>
      </c>
      <c r="U248" s="7"/>
      <c r="V248" s="7">
        <f t="shared" si="5"/>
        <v>0</v>
      </c>
      <c r="W248" s="7">
        <v>0.0</v>
      </c>
      <c r="X248" s="7"/>
      <c r="Y248" s="7">
        <f t="shared" si="6"/>
        <v>0</v>
      </c>
      <c r="Z248" s="7">
        <v>0.0</v>
      </c>
      <c r="AA248" s="7"/>
      <c r="AB248" s="7">
        <f t="shared" si="7"/>
        <v>0</v>
      </c>
      <c r="AC248" s="7">
        <v>0.0</v>
      </c>
      <c r="AD248" s="7"/>
      <c r="AE248" s="7">
        <f t="shared" si="8"/>
        <v>0</v>
      </c>
      <c r="AF248" s="11">
        <v>0.0</v>
      </c>
      <c r="AG248" s="7">
        <v>1.0</v>
      </c>
      <c r="AH248" s="11">
        <v>0.0</v>
      </c>
      <c r="AI248" s="11">
        <v>0.0</v>
      </c>
    </row>
    <row r="249" ht="30.0" customHeight="1">
      <c r="A249" s="7">
        <v>247.0</v>
      </c>
      <c r="B249" s="7">
        <v>4.724009E7</v>
      </c>
      <c r="C249" s="7">
        <v>24.0</v>
      </c>
      <c r="D249" s="7">
        <v>70.0</v>
      </c>
      <c r="E249" s="8" t="s">
        <v>480</v>
      </c>
      <c r="F249" s="9" t="s">
        <v>480</v>
      </c>
      <c r="G249" s="7" t="s">
        <v>27</v>
      </c>
      <c r="H249" s="7">
        <v>2.0</v>
      </c>
      <c r="I249" s="11">
        <v>0.0</v>
      </c>
      <c r="J249" s="7">
        <f t="shared" si="1"/>
        <v>0</v>
      </c>
      <c r="K249" s="7">
        <v>0.0</v>
      </c>
      <c r="L249" s="7"/>
      <c r="M249" s="7">
        <f t="shared" si="2"/>
        <v>0</v>
      </c>
      <c r="N249" s="7">
        <v>0.0</v>
      </c>
      <c r="O249" s="7"/>
      <c r="P249" s="7">
        <f t="shared" si="3"/>
        <v>0</v>
      </c>
      <c r="Q249" s="7">
        <v>0.0</v>
      </c>
      <c r="R249" s="7"/>
      <c r="S249" s="7">
        <f t="shared" si="4"/>
        <v>0</v>
      </c>
      <c r="T249" s="7">
        <v>0.0</v>
      </c>
      <c r="U249" s="7"/>
      <c r="V249" s="7">
        <f t="shared" si="5"/>
        <v>0</v>
      </c>
      <c r="W249" s="7">
        <v>0.0</v>
      </c>
      <c r="X249" s="7"/>
      <c r="Y249" s="7">
        <f t="shared" si="6"/>
        <v>0</v>
      </c>
      <c r="Z249" s="7">
        <v>0.0</v>
      </c>
      <c r="AA249" s="7"/>
      <c r="AB249" s="7">
        <f t="shared" si="7"/>
        <v>0</v>
      </c>
      <c r="AC249" s="7">
        <v>0.0</v>
      </c>
      <c r="AD249" s="7"/>
      <c r="AE249" s="7">
        <f t="shared" si="8"/>
        <v>0</v>
      </c>
      <c r="AF249" s="11">
        <v>0.0</v>
      </c>
      <c r="AG249" s="7">
        <v>1.0</v>
      </c>
      <c r="AH249" s="11">
        <v>0.0</v>
      </c>
      <c r="AI249" s="11">
        <v>0.0</v>
      </c>
    </row>
    <row r="250" ht="30.0" customHeight="1">
      <c r="A250" s="7">
        <v>248.0</v>
      </c>
      <c r="B250" s="7">
        <v>4.7050044E7</v>
      </c>
      <c r="C250" s="7">
        <v>24.0</v>
      </c>
      <c r="D250" s="7">
        <v>70.0</v>
      </c>
      <c r="E250" s="8" t="s">
        <v>481</v>
      </c>
      <c r="F250" s="9" t="s">
        <v>482</v>
      </c>
      <c r="G250" s="7" t="s">
        <v>27</v>
      </c>
      <c r="H250" s="7">
        <v>4.0</v>
      </c>
      <c r="I250" s="7">
        <v>6.0</v>
      </c>
      <c r="J250" s="7">
        <f t="shared" si="1"/>
        <v>4</v>
      </c>
      <c r="K250" s="7">
        <v>2.0</v>
      </c>
      <c r="L250" s="7"/>
      <c r="M250" s="7">
        <f t="shared" si="2"/>
        <v>2</v>
      </c>
      <c r="N250" s="7">
        <v>2.0</v>
      </c>
      <c r="O250" s="7"/>
      <c r="P250" s="7">
        <f t="shared" si="3"/>
        <v>2</v>
      </c>
      <c r="Q250" s="7">
        <v>0.0</v>
      </c>
      <c r="R250" s="7"/>
      <c r="S250" s="7">
        <f t="shared" si="4"/>
        <v>0</v>
      </c>
      <c r="T250" s="7">
        <v>0.0</v>
      </c>
      <c r="U250" s="7"/>
      <c r="V250" s="7">
        <f t="shared" si="5"/>
        <v>0</v>
      </c>
      <c r="W250" s="7">
        <v>0.0</v>
      </c>
      <c r="X250" s="7"/>
      <c r="Y250" s="7">
        <f t="shared" si="6"/>
        <v>0</v>
      </c>
      <c r="Z250" s="7">
        <v>0.0</v>
      </c>
      <c r="AA250" s="7"/>
      <c r="AB250" s="7">
        <f t="shared" si="7"/>
        <v>0</v>
      </c>
      <c r="AC250" s="7">
        <v>0.0</v>
      </c>
      <c r="AD250" s="7"/>
      <c r="AE250" s="7">
        <f t="shared" si="8"/>
        <v>0</v>
      </c>
      <c r="AF250" s="10"/>
      <c r="AG250" s="10"/>
      <c r="AH250" s="10"/>
      <c r="AI250" s="10"/>
    </row>
    <row r="251" ht="30.0" customHeight="1">
      <c r="A251" s="7">
        <v>249.0</v>
      </c>
      <c r="B251" s="7">
        <v>4.7050457E7</v>
      </c>
      <c r="C251" s="7">
        <v>24.0</v>
      </c>
      <c r="D251" s="7">
        <v>70.0</v>
      </c>
      <c r="E251" s="8" t="s">
        <v>483</v>
      </c>
      <c r="F251" s="9" t="s">
        <v>484</v>
      </c>
      <c r="G251" s="7" t="s">
        <v>27</v>
      </c>
      <c r="H251" s="7">
        <v>2.0</v>
      </c>
      <c r="I251" s="11">
        <v>0.0</v>
      </c>
      <c r="J251" s="7">
        <f t="shared" si="1"/>
        <v>2</v>
      </c>
      <c r="K251" s="7">
        <v>1.0</v>
      </c>
      <c r="L251" s="7"/>
      <c r="M251" s="7">
        <f t="shared" si="2"/>
        <v>1</v>
      </c>
      <c r="N251" s="7">
        <v>1.0</v>
      </c>
      <c r="O251" s="7"/>
      <c r="P251" s="7">
        <f t="shared" si="3"/>
        <v>1</v>
      </c>
      <c r="Q251" s="7">
        <v>0.0</v>
      </c>
      <c r="R251" s="7"/>
      <c r="S251" s="7">
        <f t="shared" si="4"/>
        <v>0</v>
      </c>
      <c r="T251" s="7">
        <v>0.0</v>
      </c>
      <c r="U251" s="7"/>
      <c r="V251" s="7">
        <f t="shared" si="5"/>
        <v>0</v>
      </c>
      <c r="W251" s="7">
        <v>0.0</v>
      </c>
      <c r="X251" s="7"/>
      <c r="Y251" s="7">
        <f t="shared" si="6"/>
        <v>0</v>
      </c>
      <c r="Z251" s="7">
        <v>0.0</v>
      </c>
      <c r="AA251" s="7"/>
      <c r="AB251" s="7">
        <f t="shared" si="7"/>
        <v>0</v>
      </c>
      <c r="AC251" s="7">
        <v>0.0</v>
      </c>
      <c r="AD251" s="7"/>
      <c r="AE251" s="7">
        <f t="shared" si="8"/>
        <v>0</v>
      </c>
      <c r="AF251" s="11">
        <v>0.0</v>
      </c>
      <c r="AG251" s="7">
        <v>1.0</v>
      </c>
      <c r="AH251" s="11">
        <v>0.0</v>
      </c>
      <c r="AI251" s="11">
        <v>0.0</v>
      </c>
    </row>
    <row r="252" ht="30.0" customHeight="1">
      <c r="A252" s="7">
        <v>250.0</v>
      </c>
      <c r="B252" s="7">
        <v>4.7050299E7</v>
      </c>
      <c r="C252" s="7">
        <v>24.0</v>
      </c>
      <c r="D252" s="7">
        <v>70.0</v>
      </c>
      <c r="E252" s="8" t="s">
        <v>485</v>
      </c>
      <c r="F252" s="9" t="s">
        <v>486</v>
      </c>
      <c r="G252" s="7" t="s">
        <v>27</v>
      </c>
      <c r="H252" s="7">
        <v>2.0</v>
      </c>
      <c r="I252" s="7">
        <v>6.0</v>
      </c>
      <c r="J252" s="7">
        <f t="shared" si="1"/>
        <v>2</v>
      </c>
      <c r="K252" s="7">
        <v>0.0</v>
      </c>
      <c r="L252" s="7"/>
      <c r="M252" s="7">
        <f t="shared" si="2"/>
        <v>0</v>
      </c>
      <c r="N252" s="7">
        <v>2.0</v>
      </c>
      <c r="O252" s="7"/>
      <c r="P252" s="7">
        <f t="shared" si="3"/>
        <v>2</v>
      </c>
      <c r="Q252" s="7">
        <v>0.0</v>
      </c>
      <c r="R252" s="7"/>
      <c r="S252" s="7">
        <f t="shared" si="4"/>
        <v>0</v>
      </c>
      <c r="T252" s="7">
        <v>0.0</v>
      </c>
      <c r="U252" s="7"/>
      <c r="V252" s="7">
        <f t="shared" si="5"/>
        <v>0</v>
      </c>
      <c r="W252" s="7">
        <v>0.0</v>
      </c>
      <c r="X252" s="7"/>
      <c r="Y252" s="7">
        <f t="shared" si="6"/>
        <v>0</v>
      </c>
      <c r="Z252" s="7">
        <v>0.0</v>
      </c>
      <c r="AA252" s="7"/>
      <c r="AB252" s="7">
        <f t="shared" si="7"/>
        <v>0</v>
      </c>
      <c r="AC252" s="7">
        <v>0.0</v>
      </c>
      <c r="AD252" s="7"/>
      <c r="AE252" s="7">
        <f t="shared" si="8"/>
        <v>0</v>
      </c>
      <c r="AF252" s="10"/>
      <c r="AG252" s="10"/>
      <c r="AH252" s="10"/>
      <c r="AI252" s="10"/>
    </row>
    <row r="253" ht="30.0" customHeight="1">
      <c r="A253" s="7">
        <v>251.0</v>
      </c>
      <c r="B253" s="7">
        <v>4.7050706E7</v>
      </c>
      <c r="C253" s="7">
        <v>24.0</v>
      </c>
      <c r="D253" s="7">
        <v>70.0</v>
      </c>
      <c r="E253" s="8" t="s">
        <v>487</v>
      </c>
      <c r="F253" s="9" t="s">
        <v>488</v>
      </c>
      <c r="G253" s="7" t="s">
        <v>27</v>
      </c>
      <c r="H253" s="7">
        <v>2.0</v>
      </c>
      <c r="I253" s="11">
        <v>0.0</v>
      </c>
      <c r="J253" s="7">
        <f t="shared" si="1"/>
        <v>1</v>
      </c>
      <c r="K253" s="7">
        <v>1.0</v>
      </c>
      <c r="L253" s="7"/>
      <c r="M253" s="7">
        <f t="shared" si="2"/>
        <v>1</v>
      </c>
      <c r="N253" s="7">
        <v>0.0</v>
      </c>
      <c r="O253" s="7"/>
      <c r="P253" s="7">
        <f t="shared" si="3"/>
        <v>0</v>
      </c>
      <c r="Q253" s="7">
        <v>0.0</v>
      </c>
      <c r="R253" s="7"/>
      <c r="S253" s="7">
        <f t="shared" si="4"/>
        <v>0</v>
      </c>
      <c r="T253" s="7">
        <v>0.0</v>
      </c>
      <c r="U253" s="7"/>
      <c r="V253" s="7">
        <f t="shared" si="5"/>
        <v>0</v>
      </c>
      <c r="W253" s="7">
        <v>0.0</v>
      </c>
      <c r="X253" s="7"/>
      <c r="Y253" s="7">
        <f t="shared" si="6"/>
        <v>0</v>
      </c>
      <c r="Z253" s="7">
        <v>0.0</v>
      </c>
      <c r="AA253" s="7"/>
      <c r="AB253" s="7">
        <f t="shared" si="7"/>
        <v>0</v>
      </c>
      <c r="AC253" s="7">
        <v>0.0</v>
      </c>
      <c r="AD253" s="7"/>
      <c r="AE253" s="7">
        <f t="shared" si="8"/>
        <v>0</v>
      </c>
      <c r="AF253" s="7">
        <v>2.0</v>
      </c>
      <c r="AG253" s="11">
        <v>0.0</v>
      </c>
      <c r="AH253" s="7">
        <v>2.0</v>
      </c>
      <c r="AI253" s="11">
        <v>0.0</v>
      </c>
    </row>
    <row r="254" ht="30.0" customHeight="1">
      <c r="A254" s="7">
        <v>252.0</v>
      </c>
      <c r="B254" s="7">
        <v>4.7050469E7</v>
      </c>
      <c r="C254" s="7">
        <v>24.0</v>
      </c>
      <c r="D254" s="7">
        <v>70.0</v>
      </c>
      <c r="E254" s="8" t="s">
        <v>489</v>
      </c>
      <c r="F254" s="9" t="s">
        <v>490</v>
      </c>
      <c r="G254" s="7" t="s">
        <v>27</v>
      </c>
      <c r="H254" s="7">
        <v>2.0</v>
      </c>
      <c r="I254" s="7">
        <v>16.0</v>
      </c>
      <c r="J254" s="7">
        <f t="shared" si="1"/>
        <v>2</v>
      </c>
      <c r="K254" s="7">
        <v>1.0</v>
      </c>
      <c r="L254" s="7"/>
      <c r="M254" s="7">
        <f t="shared" si="2"/>
        <v>1</v>
      </c>
      <c r="N254" s="7">
        <v>1.0</v>
      </c>
      <c r="O254" s="7"/>
      <c r="P254" s="7">
        <f t="shared" si="3"/>
        <v>1</v>
      </c>
      <c r="Q254" s="7">
        <v>0.0</v>
      </c>
      <c r="R254" s="7"/>
      <c r="S254" s="7">
        <f t="shared" si="4"/>
        <v>0</v>
      </c>
      <c r="T254" s="7">
        <v>0.0</v>
      </c>
      <c r="U254" s="7"/>
      <c r="V254" s="7">
        <f t="shared" si="5"/>
        <v>0</v>
      </c>
      <c r="W254" s="7">
        <v>0.0</v>
      </c>
      <c r="X254" s="7"/>
      <c r="Y254" s="7">
        <f t="shared" si="6"/>
        <v>0</v>
      </c>
      <c r="Z254" s="7">
        <v>0.0</v>
      </c>
      <c r="AA254" s="7"/>
      <c r="AB254" s="7">
        <f t="shared" si="7"/>
        <v>0</v>
      </c>
      <c r="AC254" s="7">
        <v>0.0</v>
      </c>
      <c r="AD254" s="7"/>
      <c r="AE254" s="7">
        <f t="shared" si="8"/>
        <v>0</v>
      </c>
      <c r="AF254" s="10"/>
      <c r="AG254" s="10"/>
      <c r="AH254" s="10"/>
      <c r="AI254" s="10"/>
    </row>
    <row r="255" ht="30.0" customHeight="1">
      <c r="A255" s="7">
        <v>253.0</v>
      </c>
      <c r="B255" s="7">
        <v>4.7050226E7</v>
      </c>
      <c r="C255" s="7">
        <v>24.0</v>
      </c>
      <c r="D255" s="7">
        <v>70.0</v>
      </c>
      <c r="E255" s="8" t="s">
        <v>491</v>
      </c>
      <c r="F255" s="9" t="s">
        <v>492</v>
      </c>
      <c r="G255" s="7" t="s">
        <v>27</v>
      </c>
      <c r="H255" s="7">
        <v>4.0</v>
      </c>
      <c r="I255" s="7">
        <v>3.0</v>
      </c>
      <c r="J255" s="7">
        <f t="shared" si="1"/>
        <v>4</v>
      </c>
      <c r="K255" s="7">
        <v>1.0</v>
      </c>
      <c r="L255" s="7"/>
      <c r="M255" s="7">
        <f t="shared" si="2"/>
        <v>1</v>
      </c>
      <c r="N255" s="7">
        <v>3.0</v>
      </c>
      <c r="O255" s="7"/>
      <c r="P255" s="7">
        <f t="shared" si="3"/>
        <v>3</v>
      </c>
      <c r="Q255" s="7">
        <v>0.0</v>
      </c>
      <c r="R255" s="7"/>
      <c r="S255" s="7">
        <f t="shared" si="4"/>
        <v>0</v>
      </c>
      <c r="T255" s="7">
        <v>0.0</v>
      </c>
      <c r="U255" s="7"/>
      <c r="V255" s="7">
        <f t="shared" si="5"/>
        <v>0</v>
      </c>
      <c r="W255" s="7">
        <v>0.0</v>
      </c>
      <c r="X255" s="7"/>
      <c r="Y255" s="7">
        <f t="shared" si="6"/>
        <v>0</v>
      </c>
      <c r="Z255" s="7">
        <v>0.0</v>
      </c>
      <c r="AA255" s="7"/>
      <c r="AB255" s="7">
        <f t="shared" si="7"/>
        <v>0</v>
      </c>
      <c r="AC255" s="7">
        <v>0.0</v>
      </c>
      <c r="AD255" s="7"/>
      <c r="AE255" s="7">
        <f t="shared" si="8"/>
        <v>0</v>
      </c>
      <c r="AF255" s="10"/>
      <c r="AG255" s="10"/>
      <c r="AH255" s="10"/>
      <c r="AI255" s="10"/>
    </row>
    <row r="256" ht="30.0" customHeight="1">
      <c r="A256" s="7">
        <v>254.0</v>
      </c>
      <c r="B256" s="7">
        <v>4.705064E7</v>
      </c>
      <c r="C256" s="7">
        <v>24.0</v>
      </c>
      <c r="D256" s="7">
        <v>70.0</v>
      </c>
      <c r="E256" s="8" t="s">
        <v>493</v>
      </c>
      <c r="F256" s="9" t="s">
        <v>494</v>
      </c>
      <c r="G256" s="7" t="s">
        <v>27</v>
      </c>
      <c r="H256" s="7">
        <v>12.0</v>
      </c>
      <c r="I256" s="7">
        <v>8.0</v>
      </c>
      <c r="J256" s="7">
        <f t="shared" si="1"/>
        <v>12</v>
      </c>
      <c r="K256" s="7">
        <v>0.0</v>
      </c>
      <c r="L256" s="7"/>
      <c r="M256" s="7">
        <f t="shared" si="2"/>
        <v>0</v>
      </c>
      <c r="N256" s="7">
        <v>4.0</v>
      </c>
      <c r="O256" s="7"/>
      <c r="P256" s="7">
        <f t="shared" si="3"/>
        <v>4</v>
      </c>
      <c r="Q256" s="7">
        <v>8.0</v>
      </c>
      <c r="R256" s="7"/>
      <c r="S256" s="7">
        <f t="shared" si="4"/>
        <v>8</v>
      </c>
      <c r="T256" s="7">
        <v>0.0</v>
      </c>
      <c r="U256" s="7"/>
      <c r="V256" s="7">
        <f t="shared" si="5"/>
        <v>0</v>
      </c>
      <c r="W256" s="7">
        <v>0.0</v>
      </c>
      <c r="X256" s="7"/>
      <c r="Y256" s="7">
        <f t="shared" si="6"/>
        <v>0</v>
      </c>
      <c r="Z256" s="7">
        <v>0.0</v>
      </c>
      <c r="AA256" s="7"/>
      <c r="AB256" s="7">
        <f t="shared" si="7"/>
        <v>0</v>
      </c>
      <c r="AC256" s="7">
        <v>0.0</v>
      </c>
      <c r="AD256" s="7"/>
      <c r="AE256" s="7">
        <f t="shared" si="8"/>
        <v>0</v>
      </c>
      <c r="AF256" s="10"/>
      <c r="AG256" s="10"/>
      <c r="AH256" s="10"/>
      <c r="AI256" s="10"/>
    </row>
    <row r="257" ht="30.0" customHeight="1">
      <c r="A257" s="7">
        <v>255.0</v>
      </c>
      <c r="B257" s="7">
        <v>4.705072E7</v>
      </c>
      <c r="C257" s="7">
        <v>24.0</v>
      </c>
      <c r="D257" s="7">
        <v>70.0</v>
      </c>
      <c r="E257" s="8" t="s">
        <v>495</v>
      </c>
      <c r="F257" s="9" t="s">
        <v>496</v>
      </c>
      <c r="G257" s="7" t="s">
        <v>27</v>
      </c>
      <c r="H257" s="7">
        <v>4.0</v>
      </c>
      <c r="I257" s="7">
        <v>2.0</v>
      </c>
      <c r="J257" s="7">
        <f t="shared" si="1"/>
        <v>4</v>
      </c>
      <c r="K257" s="7">
        <v>1.0</v>
      </c>
      <c r="L257" s="7"/>
      <c r="M257" s="7">
        <f t="shared" si="2"/>
        <v>1</v>
      </c>
      <c r="N257" s="7">
        <v>2.0</v>
      </c>
      <c r="O257" s="7"/>
      <c r="P257" s="7">
        <f t="shared" si="3"/>
        <v>2</v>
      </c>
      <c r="Q257" s="7">
        <v>1.0</v>
      </c>
      <c r="R257" s="7"/>
      <c r="S257" s="7">
        <f t="shared" si="4"/>
        <v>1</v>
      </c>
      <c r="T257" s="7">
        <v>0.0</v>
      </c>
      <c r="U257" s="7"/>
      <c r="V257" s="7">
        <f t="shared" si="5"/>
        <v>0</v>
      </c>
      <c r="W257" s="7">
        <v>0.0</v>
      </c>
      <c r="X257" s="7"/>
      <c r="Y257" s="7">
        <f t="shared" si="6"/>
        <v>0</v>
      </c>
      <c r="Z257" s="7">
        <v>0.0</v>
      </c>
      <c r="AA257" s="7"/>
      <c r="AB257" s="7">
        <f t="shared" si="7"/>
        <v>0</v>
      </c>
      <c r="AC257" s="7">
        <v>0.0</v>
      </c>
      <c r="AD257" s="7"/>
      <c r="AE257" s="7">
        <f t="shared" si="8"/>
        <v>0</v>
      </c>
      <c r="AF257" s="10"/>
      <c r="AG257" s="10"/>
      <c r="AH257" s="10"/>
      <c r="AI257" s="10"/>
    </row>
    <row r="258" ht="30.0" customHeight="1">
      <c r="A258" s="7">
        <v>256.0</v>
      </c>
      <c r="B258" s="7">
        <v>4.7050639E7</v>
      </c>
      <c r="C258" s="7">
        <v>24.0</v>
      </c>
      <c r="D258" s="7">
        <v>70.0</v>
      </c>
      <c r="E258" s="8" t="s">
        <v>497</v>
      </c>
      <c r="F258" s="9" t="s">
        <v>498</v>
      </c>
      <c r="G258" s="7" t="s">
        <v>27</v>
      </c>
      <c r="H258" s="7">
        <v>10.0</v>
      </c>
      <c r="I258" s="7">
        <v>6.0</v>
      </c>
      <c r="J258" s="7">
        <f t="shared" si="1"/>
        <v>7</v>
      </c>
      <c r="K258" s="7">
        <v>1.0</v>
      </c>
      <c r="L258" s="7"/>
      <c r="M258" s="7">
        <f t="shared" si="2"/>
        <v>1</v>
      </c>
      <c r="N258" s="7">
        <v>6.0</v>
      </c>
      <c r="O258" s="7"/>
      <c r="P258" s="7">
        <f t="shared" si="3"/>
        <v>6</v>
      </c>
      <c r="Q258" s="7">
        <v>0.0</v>
      </c>
      <c r="R258" s="7"/>
      <c r="S258" s="7">
        <f t="shared" si="4"/>
        <v>0</v>
      </c>
      <c r="T258" s="7">
        <v>0.0</v>
      </c>
      <c r="U258" s="7"/>
      <c r="V258" s="7">
        <f t="shared" si="5"/>
        <v>0</v>
      </c>
      <c r="W258" s="7">
        <v>0.0</v>
      </c>
      <c r="X258" s="7"/>
      <c r="Y258" s="7">
        <f t="shared" si="6"/>
        <v>0</v>
      </c>
      <c r="Z258" s="7">
        <v>0.0</v>
      </c>
      <c r="AA258" s="7"/>
      <c r="AB258" s="7">
        <f t="shared" si="7"/>
        <v>0</v>
      </c>
      <c r="AC258" s="7">
        <v>0.0</v>
      </c>
      <c r="AD258" s="7"/>
      <c r="AE258" s="7">
        <f t="shared" si="8"/>
        <v>0</v>
      </c>
      <c r="AF258" s="10"/>
      <c r="AG258" s="10"/>
      <c r="AH258" s="10"/>
      <c r="AI258" s="10"/>
    </row>
    <row r="259" ht="30.0" customHeight="1">
      <c r="A259" s="7">
        <v>257.0</v>
      </c>
      <c r="B259" s="7">
        <v>4.7050214E7</v>
      </c>
      <c r="C259" s="7">
        <v>24.0</v>
      </c>
      <c r="D259" s="7">
        <v>70.0</v>
      </c>
      <c r="E259" s="8" t="s">
        <v>499</v>
      </c>
      <c r="F259" s="9" t="s">
        <v>500</v>
      </c>
      <c r="G259" s="7" t="s">
        <v>27</v>
      </c>
      <c r="H259" s="7">
        <v>4.0</v>
      </c>
      <c r="I259" s="7">
        <v>4.0</v>
      </c>
      <c r="J259" s="7">
        <f t="shared" si="1"/>
        <v>4</v>
      </c>
      <c r="K259" s="7">
        <v>2.0</v>
      </c>
      <c r="L259" s="7"/>
      <c r="M259" s="7">
        <f t="shared" si="2"/>
        <v>2</v>
      </c>
      <c r="N259" s="7">
        <v>1.0</v>
      </c>
      <c r="O259" s="7"/>
      <c r="P259" s="7">
        <f t="shared" si="3"/>
        <v>1</v>
      </c>
      <c r="Q259" s="7">
        <v>1.0</v>
      </c>
      <c r="R259" s="7"/>
      <c r="S259" s="7">
        <f t="shared" si="4"/>
        <v>1</v>
      </c>
      <c r="T259" s="7">
        <v>0.0</v>
      </c>
      <c r="U259" s="7"/>
      <c r="V259" s="7">
        <f t="shared" si="5"/>
        <v>0</v>
      </c>
      <c r="W259" s="7">
        <v>0.0</v>
      </c>
      <c r="X259" s="7"/>
      <c r="Y259" s="7">
        <f t="shared" si="6"/>
        <v>0</v>
      </c>
      <c r="Z259" s="7">
        <v>0.0</v>
      </c>
      <c r="AA259" s="7"/>
      <c r="AB259" s="7">
        <f t="shared" si="7"/>
        <v>0</v>
      </c>
      <c r="AC259" s="7">
        <v>0.0</v>
      </c>
      <c r="AD259" s="7"/>
      <c r="AE259" s="7">
        <f t="shared" si="8"/>
        <v>0</v>
      </c>
      <c r="AF259" s="10"/>
      <c r="AG259" s="10"/>
      <c r="AH259" s="10"/>
      <c r="AI259" s="10"/>
    </row>
    <row r="260" ht="30.0" customHeight="1">
      <c r="A260" s="7">
        <v>258.0</v>
      </c>
      <c r="B260" s="7">
        <v>4.7050147E7</v>
      </c>
      <c r="C260" s="7">
        <v>24.0</v>
      </c>
      <c r="D260" s="7">
        <v>70.0</v>
      </c>
      <c r="E260" s="8" t="s">
        <v>501</v>
      </c>
      <c r="F260" s="9" t="s">
        <v>502</v>
      </c>
      <c r="G260" s="7" t="s">
        <v>27</v>
      </c>
      <c r="H260" s="7">
        <v>4.0</v>
      </c>
      <c r="I260" s="7">
        <v>4.0</v>
      </c>
      <c r="J260" s="7">
        <f t="shared" si="1"/>
        <v>2</v>
      </c>
      <c r="K260" s="7">
        <v>0.0</v>
      </c>
      <c r="L260" s="7"/>
      <c r="M260" s="7">
        <f t="shared" si="2"/>
        <v>0</v>
      </c>
      <c r="N260" s="7">
        <v>2.0</v>
      </c>
      <c r="O260" s="7"/>
      <c r="P260" s="7">
        <f t="shared" si="3"/>
        <v>2</v>
      </c>
      <c r="Q260" s="7">
        <v>0.0</v>
      </c>
      <c r="R260" s="7"/>
      <c r="S260" s="7">
        <f t="shared" si="4"/>
        <v>0</v>
      </c>
      <c r="T260" s="7">
        <v>0.0</v>
      </c>
      <c r="U260" s="7"/>
      <c r="V260" s="7">
        <f t="shared" si="5"/>
        <v>0</v>
      </c>
      <c r="W260" s="7">
        <v>0.0</v>
      </c>
      <c r="X260" s="7"/>
      <c r="Y260" s="7">
        <f t="shared" si="6"/>
        <v>0</v>
      </c>
      <c r="Z260" s="7">
        <v>0.0</v>
      </c>
      <c r="AA260" s="7"/>
      <c r="AB260" s="7">
        <f t="shared" si="7"/>
        <v>0</v>
      </c>
      <c r="AC260" s="7">
        <v>0.0</v>
      </c>
      <c r="AD260" s="7"/>
      <c r="AE260" s="7">
        <f t="shared" si="8"/>
        <v>0</v>
      </c>
      <c r="AF260" s="10"/>
      <c r="AG260" s="10"/>
      <c r="AH260" s="10"/>
      <c r="AI260" s="10"/>
    </row>
    <row r="261" ht="30.0" customHeight="1">
      <c r="A261" s="7">
        <v>259.0</v>
      </c>
      <c r="B261" s="7">
        <v>4.7050251E7</v>
      </c>
      <c r="C261" s="7">
        <v>24.0</v>
      </c>
      <c r="D261" s="7">
        <v>70.0</v>
      </c>
      <c r="E261" s="8" t="s">
        <v>503</v>
      </c>
      <c r="F261" s="9" t="s">
        <v>504</v>
      </c>
      <c r="G261" s="7" t="s">
        <v>27</v>
      </c>
      <c r="H261" s="7">
        <v>2.0</v>
      </c>
      <c r="I261" s="7">
        <v>2.0</v>
      </c>
      <c r="J261" s="7">
        <f t="shared" si="1"/>
        <v>2</v>
      </c>
      <c r="K261" s="7">
        <v>0.0</v>
      </c>
      <c r="L261" s="7"/>
      <c r="M261" s="7">
        <f t="shared" si="2"/>
        <v>0</v>
      </c>
      <c r="N261" s="7">
        <v>2.0</v>
      </c>
      <c r="O261" s="7"/>
      <c r="P261" s="7">
        <f t="shared" si="3"/>
        <v>2</v>
      </c>
      <c r="Q261" s="7">
        <v>0.0</v>
      </c>
      <c r="R261" s="7"/>
      <c r="S261" s="7">
        <f t="shared" si="4"/>
        <v>0</v>
      </c>
      <c r="T261" s="7">
        <v>0.0</v>
      </c>
      <c r="U261" s="7"/>
      <c r="V261" s="7">
        <f t="shared" si="5"/>
        <v>0</v>
      </c>
      <c r="W261" s="7">
        <v>0.0</v>
      </c>
      <c r="X261" s="7"/>
      <c r="Y261" s="7">
        <f t="shared" si="6"/>
        <v>0</v>
      </c>
      <c r="Z261" s="7">
        <v>0.0</v>
      </c>
      <c r="AA261" s="7"/>
      <c r="AB261" s="7">
        <f t="shared" si="7"/>
        <v>0</v>
      </c>
      <c r="AC261" s="7">
        <v>0.0</v>
      </c>
      <c r="AD261" s="7"/>
      <c r="AE261" s="7">
        <f t="shared" si="8"/>
        <v>0</v>
      </c>
      <c r="AF261" s="10"/>
      <c r="AG261" s="10"/>
      <c r="AH261" s="10"/>
      <c r="AI261" s="10"/>
    </row>
    <row r="262" ht="30.0" customHeight="1">
      <c r="A262" s="7">
        <v>260.0</v>
      </c>
      <c r="B262" s="7">
        <v>4.7050883E7</v>
      </c>
      <c r="C262" s="7">
        <v>24.0</v>
      </c>
      <c r="D262" s="7">
        <v>10.0</v>
      </c>
      <c r="E262" s="8" t="s">
        <v>505</v>
      </c>
      <c r="F262" s="9" t="s">
        <v>506</v>
      </c>
      <c r="G262" s="7" t="s">
        <v>27</v>
      </c>
      <c r="H262" s="7">
        <v>12.0</v>
      </c>
      <c r="I262" s="7">
        <v>8.0</v>
      </c>
      <c r="J262" s="7">
        <f t="shared" si="1"/>
        <v>12</v>
      </c>
      <c r="K262" s="7">
        <v>4.0</v>
      </c>
      <c r="L262" s="7"/>
      <c r="M262" s="7">
        <f t="shared" si="2"/>
        <v>4</v>
      </c>
      <c r="N262" s="7">
        <v>0.0</v>
      </c>
      <c r="O262" s="7"/>
      <c r="P262" s="7">
        <f t="shared" si="3"/>
        <v>0</v>
      </c>
      <c r="Q262" s="7">
        <v>8.0</v>
      </c>
      <c r="R262" s="7"/>
      <c r="S262" s="7">
        <f t="shared" si="4"/>
        <v>8</v>
      </c>
      <c r="T262" s="7">
        <v>0.0</v>
      </c>
      <c r="U262" s="7"/>
      <c r="V262" s="7">
        <f t="shared" si="5"/>
        <v>0</v>
      </c>
      <c r="W262" s="7">
        <v>0.0</v>
      </c>
      <c r="X262" s="7"/>
      <c r="Y262" s="7">
        <f t="shared" si="6"/>
        <v>0</v>
      </c>
      <c r="Z262" s="7">
        <v>0.0</v>
      </c>
      <c r="AA262" s="7"/>
      <c r="AB262" s="7">
        <f t="shared" si="7"/>
        <v>0</v>
      </c>
      <c r="AC262" s="7">
        <v>0.0</v>
      </c>
      <c r="AD262" s="7"/>
      <c r="AE262" s="7">
        <f t="shared" si="8"/>
        <v>0</v>
      </c>
      <c r="AF262" s="10"/>
      <c r="AG262" s="10"/>
      <c r="AH262" s="10"/>
      <c r="AI262" s="10"/>
    </row>
    <row r="263" ht="30.0" customHeight="1">
      <c r="A263" s="7">
        <v>261.0</v>
      </c>
      <c r="B263" s="7">
        <v>4.7050846E7</v>
      </c>
      <c r="C263" s="7">
        <v>24.0</v>
      </c>
      <c r="D263" s="7">
        <v>70.0</v>
      </c>
      <c r="E263" s="8" t="s">
        <v>507</v>
      </c>
      <c r="F263" s="9" t="s">
        <v>507</v>
      </c>
      <c r="G263" s="7" t="s">
        <v>27</v>
      </c>
      <c r="H263" s="7">
        <v>2.0</v>
      </c>
      <c r="I263" s="7">
        <v>1.0</v>
      </c>
      <c r="J263" s="7">
        <f t="shared" si="1"/>
        <v>1</v>
      </c>
      <c r="K263" s="7">
        <v>1.0</v>
      </c>
      <c r="L263" s="7"/>
      <c r="M263" s="7">
        <f t="shared" si="2"/>
        <v>1</v>
      </c>
      <c r="N263" s="7">
        <v>0.0</v>
      </c>
      <c r="O263" s="7"/>
      <c r="P263" s="7">
        <f t="shared" si="3"/>
        <v>0</v>
      </c>
      <c r="Q263" s="7">
        <v>0.0</v>
      </c>
      <c r="R263" s="7"/>
      <c r="S263" s="7">
        <f t="shared" si="4"/>
        <v>0</v>
      </c>
      <c r="T263" s="7">
        <v>0.0</v>
      </c>
      <c r="U263" s="7"/>
      <c r="V263" s="7">
        <f t="shared" si="5"/>
        <v>0</v>
      </c>
      <c r="W263" s="7">
        <v>0.0</v>
      </c>
      <c r="X263" s="7"/>
      <c r="Y263" s="7">
        <f t="shared" si="6"/>
        <v>0</v>
      </c>
      <c r="Z263" s="7">
        <v>0.0</v>
      </c>
      <c r="AA263" s="7"/>
      <c r="AB263" s="7">
        <f t="shared" si="7"/>
        <v>0</v>
      </c>
      <c r="AC263" s="7">
        <v>0.0</v>
      </c>
      <c r="AD263" s="7"/>
      <c r="AE263" s="7">
        <f t="shared" si="8"/>
        <v>0</v>
      </c>
      <c r="AF263" s="10"/>
      <c r="AG263" s="10"/>
      <c r="AH263" s="10"/>
      <c r="AI263" s="10"/>
    </row>
    <row r="264" ht="30.0" customHeight="1">
      <c r="A264" s="7">
        <v>262.0</v>
      </c>
      <c r="B264" s="7">
        <v>4.7050056E7</v>
      </c>
      <c r="C264" s="7">
        <v>24.0</v>
      </c>
      <c r="D264" s="7">
        <v>70.0</v>
      </c>
      <c r="E264" s="8" t="s">
        <v>508</v>
      </c>
      <c r="F264" s="9" t="s">
        <v>508</v>
      </c>
      <c r="G264" s="7" t="s">
        <v>27</v>
      </c>
      <c r="H264" s="7">
        <v>4.0</v>
      </c>
      <c r="I264" s="7">
        <v>2.0</v>
      </c>
      <c r="J264" s="7">
        <f t="shared" si="1"/>
        <v>3</v>
      </c>
      <c r="K264" s="7">
        <v>0.0</v>
      </c>
      <c r="L264" s="7"/>
      <c r="M264" s="7">
        <f t="shared" si="2"/>
        <v>0</v>
      </c>
      <c r="N264" s="7">
        <v>3.0</v>
      </c>
      <c r="O264" s="7"/>
      <c r="P264" s="7">
        <f t="shared" si="3"/>
        <v>3</v>
      </c>
      <c r="Q264" s="7">
        <v>0.0</v>
      </c>
      <c r="R264" s="7"/>
      <c r="S264" s="7">
        <f t="shared" si="4"/>
        <v>0</v>
      </c>
      <c r="T264" s="7">
        <v>0.0</v>
      </c>
      <c r="U264" s="7"/>
      <c r="V264" s="7">
        <f t="shared" si="5"/>
        <v>0</v>
      </c>
      <c r="W264" s="7">
        <v>0.0</v>
      </c>
      <c r="X264" s="7"/>
      <c r="Y264" s="7">
        <f t="shared" si="6"/>
        <v>0</v>
      </c>
      <c r="Z264" s="7">
        <v>0.0</v>
      </c>
      <c r="AA264" s="7"/>
      <c r="AB264" s="7">
        <f t="shared" si="7"/>
        <v>0</v>
      </c>
      <c r="AC264" s="7">
        <v>0.0</v>
      </c>
      <c r="AD264" s="7"/>
      <c r="AE264" s="7">
        <f t="shared" si="8"/>
        <v>0</v>
      </c>
      <c r="AF264" s="10"/>
      <c r="AG264" s="10"/>
      <c r="AH264" s="10"/>
      <c r="AI264" s="10"/>
    </row>
    <row r="265" ht="30.0" customHeight="1">
      <c r="A265" s="7">
        <v>263.0</v>
      </c>
      <c r="B265" s="7">
        <v>4.7050238E7</v>
      </c>
      <c r="C265" s="7">
        <v>24.0</v>
      </c>
      <c r="D265" s="7">
        <v>70.0</v>
      </c>
      <c r="E265" s="8" t="s">
        <v>509</v>
      </c>
      <c r="F265" s="9" t="s">
        <v>509</v>
      </c>
      <c r="G265" s="7" t="s">
        <v>27</v>
      </c>
      <c r="H265" s="7">
        <v>5.0</v>
      </c>
      <c r="I265" s="7">
        <v>1.0</v>
      </c>
      <c r="J265" s="7">
        <f t="shared" si="1"/>
        <v>5</v>
      </c>
      <c r="K265" s="7">
        <v>0.0</v>
      </c>
      <c r="L265" s="7"/>
      <c r="M265" s="7">
        <f t="shared" si="2"/>
        <v>0</v>
      </c>
      <c r="N265" s="7">
        <v>3.0</v>
      </c>
      <c r="O265" s="7"/>
      <c r="P265" s="7">
        <f t="shared" si="3"/>
        <v>3</v>
      </c>
      <c r="Q265" s="7">
        <v>2.0</v>
      </c>
      <c r="R265" s="7"/>
      <c r="S265" s="7">
        <f t="shared" si="4"/>
        <v>2</v>
      </c>
      <c r="T265" s="7">
        <v>0.0</v>
      </c>
      <c r="U265" s="7"/>
      <c r="V265" s="7">
        <f t="shared" si="5"/>
        <v>0</v>
      </c>
      <c r="W265" s="7">
        <v>0.0</v>
      </c>
      <c r="X265" s="7"/>
      <c r="Y265" s="7">
        <f t="shared" si="6"/>
        <v>0</v>
      </c>
      <c r="Z265" s="7">
        <v>0.0</v>
      </c>
      <c r="AA265" s="7"/>
      <c r="AB265" s="7">
        <f t="shared" si="7"/>
        <v>0</v>
      </c>
      <c r="AC265" s="7">
        <v>0.0</v>
      </c>
      <c r="AD265" s="7"/>
      <c r="AE265" s="7">
        <f t="shared" si="8"/>
        <v>0</v>
      </c>
      <c r="AF265" s="10"/>
      <c r="AG265" s="10"/>
      <c r="AH265" s="10"/>
      <c r="AI265" s="10"/>
    </row>
    <row r="266" ht="30.0" customHeight="1">
      <c r="A266" s="7">
        <v>264.0</v>
      </c>
      <c r="B266" s="7">
        <v>4.7050913E7</v>
      </c>
      <c r="C266" s="7">
        <v>24.0</v>
      </c>
      <c r="D266" s="7">
        <v>70.0</v>
      </c>
      <c r="E266" s="8" t="s">
        <v>510</v>
      </c>
      <c r="F266" s="9" t="s">
        <v>510</v>
      </c>
      <c r="G266" s="7" t="s">
        <v>27</v>
      </c>
      <c r="H266" s="7">
        <v>2.0</v>
      </c>
      <c r="I266" s="11">
        <v>0.0</v>
      </c>
      <c r="J266" s="7">
        <f t="shared" si="1"/>
        <v>0</v>
      </c>
      <c r="K266" s="7">
        <v>0.0</v>
      </c>
      <c r="L266" s="7"/>
      <c r="M266" s="7">
        <f t="shared" si="2"/>
        <v>0</v>
      </c>
      <c r="N266" s="7">
        <v>0.0</v>
      </c>
      <c r="O266" s="7"/>
      <c r="P266" s="7">
        <f t="shared" si="3"/>
        <v>0</v>
      </c>
      <c r="Q266" s="7">
        <v>0.0</v>
      </c>
      <c r="R266" s="7"/>
      <c r="S266" s="7">
        <f t="shared" si="4"/>
        <v>0</v>
      </c>
      <c r="T266" s="7">
        <v>0.0</v>
      </c>
      <c r="U266" s="7"/>
      <c r="V266" s="7">
        <f t="shared" si="5"/>
        <v>0</v>
      </c>
      <c r="W266" s="7">
        <v>0.0</v>
      </c>
      <c r="X266" s="7"/>
      <c r="Y266" s="7">
        <f t="shared" si="6"/>
        <v>0</v>
      </c>
      <c r="Z266" s="7">
        <v>0.0</v>
      </c>
      <c r="AA266" s="7"/>
      <c r="AB266" s="7">
        <f t="shared" si="7"/>
        <v>0</v>
      </c>
      <c r="AC266" s="7">
        <v>0.0</v>
      </c>
      <c r="AD266" s="7"/>
      <c r="AE266" s="7">
        <f t="shared" si="8"/>
        <v>0</v>
      </c>
      <c r="AF266" s="11">
        <v>0.0</v>
      </c>
      <c r="AG266" s="7">
        <v>2.0</v>
      </c>
      <c r="AH266" s="11">
        <v>0.0</v>
      </c>
      <c r="AI266" s="11">
        <v>0.0</v>
      </c>
    </row>
    <row r="267" ht="30.0" customHeight="1">
      <c r="A267" s="7">
        <v>265.0</v>
      </c>
      <c r="B267" s="7">
        <v>4.7040014E7</v>
      </c>
      <c r="C267" s="7">
        <v>24.0</v>
      </c>
      <c r="D267" s="7">
        <v>70.0</v>
      </c>
      <c r="E267" s="8" t="s">
        <v>511</v>
      </c>
      <c r="F267" s="9" t="s">
        <v>512</v>
      </c>
      <c r="G267" s="7" t="s">
        <v>27</v>
      </c>
      <c r="H267" s="7">
        <v>2.0</v>
      </c>
      <c r="I267" s="11">
        <v>0.0</v>
      </c>
      <c r="J267" s="7">
        <f t="shared" si="1"/>
        <v>2</v>
      </c>
      <c r="K267" s="7">
        <v>1.0</v>
      </c>
      <c r="L267" s="7"/>
      <c r="M267" s="7">
        <f t="shared" si="2"/>
        <v>1</v>
      </c>
      <c r="N267" s="7">
        <v>1.0</v>
      </c>
      <c r="O267" s="7"/>
      <c r="P267" s="7">
        <f t="shared" si="3"/>
        <v>1</v>
      </c>
      <c r="Q267" s="7">
        <v>0.0</v>
      </c>
      <c r="R267" s="7"/>
      <c r="S267" s="7">
        <f t="shared" si="4"/>
        <v>0</v>
      </c>
      <c r="T267" s="7">
        <v>0.0</v>
      </c>
      <c r="U267" s="7"/>
      <c r="V267" s="7">
        <f t="shared" si="5"/>
        <v>0</v>
      </c>
      <c r="W267" s="7">
        <v>0.0</v>
      </c>
      <c r="X267" s="7"/>
      <c r="Y267" s="7">
        <f t="shared" si="6"/>
        <v>0</v>
      </c>
      <c r="Z267" s="7">
        <v>0.0</v>
      </c>
      <c r="AA267" s="7"/>
      <c r="AB267" s="7">
        <f t="shared" si="7"/>
        <v>0</v>
      </c>
      <c r="AC267" s="7">
        <v>0.0</v>
      </c>
      <c r="AD267" s="7"/>
      <c r="AE267" s="7">
        <f t="shared" si="8"/>
        <v>0</v>
      </c>
      <c r="AF267" s="7">
        <v>1.0</v>
      </c>
      <c r="AG267" s="7">
        <v>1.0</v>
      </c>
      <c r="AH267" s="7">
        <v>3.0</v>
      </c>
      <c r="AI267" s="11">
        <v>0.0</v>
      </c>
    </row>
    <row r="268" ht="30.0" customHeight="1">
      <c r="A268" s="7">
        <v>266.0</v>
      </c>
      <c r="B268" s="7">
        <v>4.705002E7</v>
      </c>
      <c r="C268" s="7">
        <v>24.0</v>
      </c>
      <c r="D268" s="7">
        <v>70.0</v>
      </c>
      <c r="E268" s="8" t="s">
        <v>513</v>
      </c>
      <c r="F268" s="9" t="s">
        <v>514</v>
      </c>
      <c r="G268" s="7" t="s">
        <v>27</v>
      </c>
      <c r="H268" s="7">
        <v>4.0</v>
      </c>
      <c r="I268" s="11">
        <v>0.0</v>
      </c>
      <c r="J268" s="7">
        <f t="shared" si="1"/>
        <v>4</v>
      </c>
      <c r="K268" s="7">
        <v>1.0</v>
      </c>
      <c r="L268" s="7"/>
      <c r="M268" s="7">
        <f t="shared" si="2"/>
        <v>1</v>
      </c>
      <c r="N268" s="7">
        <v>3.0</v>
      </c>
      <c r="O268" s="7"/>
      <c r="P268" s="7">
        <f t="shared" si="3"/>
        <v>3</v>
      </c>
      <c r="Q268" s="7">
        <v>0.0</v>
      </c>
      <c r="R268" s="7"/>
      <c r="S268" s="7">
        <f t="shared" si="4"/>
        <v>0</v>
      </c>
      <c r="T268" s="7">
        <v>0.0</v>
      </c>
      <c r="U268" s="7"/>
      <c r="V268" s="7">
        <f t="shared" si="5"/>
        <v>0</v>
      </c>
      <c r="W268" s="7">
        <v>0.0</v>
      </c>
      <c r="X268" s="7"/>
      <c r="Y268" s="7">
        <f t="shared" si="6"/>
        <v>0</v>
      </c>
      <c r="Z268" s="7">
        <v>0.0</v>
      </c>
      <c r="AA268" s="7"/>
      <c r="AB268" s="7">
        <f t="shared" si="7"/>
        <v>0</v>
      </c>
      <c r="AC268" s="7">
        <v>0.0</v>
      </c>
      <c r="AD268" s="7"/>
      <c r="AE268" s="7">
        <f t="shared" si="8"/>
        <v>0</v>
      </c>
      <c r="AF268" s="10"/>
      <c r="AG268" s="10"/>
      <c r="AH268" s="10"/>
      <c r="AI268" s="10"/>
    </row>
    <row r="269" ht="30.0" customHeight="1">
      <c r="A269" s="7">
        <v>267.0</v>
      </c>
      <c r="B269" s="7">
        <v>4.7050019E7</v>
      </c>
      <c r="C269" s="7">
        <v>24.0</v>
      </c>
      <c r="D269" s="7">
        <v>70.0</v>
      </c>
      <c r="E269" s="8" t="s">
        <v>515</v>
      </c>
      <c r="F269" s="9" t="s">
        <v>516</v>
      </c>
      <c r="G269" s="7" t="s">
        <v>27</v>
      </c>
      <c r="H269" s="7">
        <v>10.0</v>
      </c>
      <c r="I269" s="7">
        <v>24.0</v>
      </c>
      <c r="J269" s="7">
        <f t="shared" si="1"/>
        <v>10</v>
      </c>
      <c r="K269" s="7">
        <v>4.0</v>
      </c>
      <c r="L269" s="7"/>
      <c r="M269" s="7">
        <f t="shared" si="2"/>
        <v>4</v>
      </c>
      <c r="N269" s="7">
        <v>6.0</v>
      </c>
      <c r="O269" s="7"/>
      <c r="P269" s="7">
        <f t="shared" si="3"/>
        <v>6</v>
      </c>
      <c r="Q269" s="7">
        <v>0.0</v>
      </c>
      <c r="R269" s="7"/>
      <c r="S269" s="7">
        <f t="shared" si="4"/>
        <v>0</v>
      </c>
      <c r="T269" s="7">
        <v>0.0</v>
      </c>
      <c r="U269" s="7"/>
      <c r="V269" s="7">
        <f t="shared" si="5"/>
        <v>0</v>
      </c>
      <c r="W269" s="7">
        <v>0.0</v>
      </c>
      <c r="X269" s="7"/>
      <c r="Y269" s="7">
        <f t="shared" si="6"/>
        <v>0</v>
      </c>
      <c r="Z269" s="7">
        <v>0.0</v>
      </c>
      <c r="AA269" s="7"/>
      <c r="AB269" s="7">
        <f t="shared" si="7"/>
        <v>0</v>
      </c>
      <c r="AC269" s="7">
        <v>0.0</v>
      </c>
      <c r="AD269" s="7"/>
      <c r="AE269" s="7">
        <f t="shared" si="8"/>
        <v>0</v>
      </c>
      <c r="AF269" s="10"/>
      <c r="AG269" s="10"/>
      <c r="AH269" s="10"/>
      <c r="AI269" s="10"/>
    </row>
    <row r="270" ht="30.0" customHeight="1">
      <c r="A270" s="7">
        <v>268.0</v>
      </c>
      <c r="B270" s="7">
        <v>4.7050615E7</v>
      </c>
      <c r="C270" s="7">
        <v>24.0</v>
      </c>
      <c r="D270" s="7">
        <v>70.0</v>
      </c>
      <c r="E270" s="8" t="s">
        <v>517</v>
      </c>
      <c r="F270" s="9" t="s">
        <v>517</v>
      </c>
      <c r="G270" s="7" t="s">
        <v>27</v>
      </c>
      <c r="H270" s="7">
        <v>4.0</v>
      </c>
      <c r="I270" s="7">
        <v>7.0</v>
      </c>
      <c r="J270" s="7">
        <f t="shared" si="1"/>
        <v>4</v>
      </c>
      <c r="K270" s="7">
        <v>2.0</v>
      </c>
      <c r="L270" s="7"/>
      <c r="M270" s="7">
        <f t="shared" si="2"/>
        <v>2</v>
      </c>
      <c r="N270" s="7">
        <v>1.0</v>
      </c>
      <c r="O270" s="7"/>
      <c r="P270" s="7">
        <f t="shared" si="3"/>
        <v>1</v>
      </c>
      <c r="Q270" s="7">
        <v>1.0</v>
      </c>
      <c r="R270" s="7"/>
      <c r="S270" s="7">
        <f t="shared" si="4"/>
        <v>1</v>
      </c>
      <c r="T270" s="7">
        <v>0.0</v>
      </c>
      <c r="U270" s="7"/>
      <c r="V270" s="7">
        <f t="shared" si="5"/>
        <v>0</v>
      </c>
      <c r="W270" s="7">
        <v>0.0</v>
      </c>
      <c r="X270" s="7"/>
      <c r="Y270" s="7">
        <f t="shared" si="6"/>
        <v>0</v>
      </c>
      <c r="Z270" s="7">
        <v>0.0</v>
      </c>
      <c r="AA270" s="7"/>
      <c r="AB270" s="7">
        <f t="shared" si="7"/>
        <v>0</v>
      </c>
      <c r="AC270" s="7">
        <v>0.0</v>
      </c>
      <c r="AD270" s="7"/>
      <c r="AE270" s="7">
        <f t="shared" si="8"/>
        <v>0</v>
      </c>
      <c r="AF270" s="10"/>
      <c r="AG270" s="10"/>
      <c r="AH270" s="10"/>
      <c r="AI270" s="10"/>
    </row>
    <row r="271" ht="30.0" customHeight="1">
      <c r="A271" s="7">
        <v>269.0</v>
      </c>
      <c r="B271" s="7">
        <v>4.3100089E7</v>
      </c>
      <c r="C271" s="7">
        <v>24.0</v>
      </c>
      <c r="D271" s="7">
        <v>70.0</v>
      </c>
      <c r="E271" s="8" t="s">
        <v>517</v>
      </c>
      <c r="F271" s="9" t="s">
        <v>517</v>
      </c>
      <c r="G271" s="7" t="s">
        <v>27</v>
      </c>
      <c r="H271" s="7">
        <v>2.0</v>
      </c>
      <c r="I271" s="7">
        <v>2.0</v>
      </c>
      <c r="J271" s="7">
        <f t="shared" si="1"/>
        <v>2</v>
      </c>
      <c r="K271" s="7">
        <v>0.0</v>
      </c>
      <c r="L271" s="7"/>
      <c r="M271" s="7">
        <f t="shared" si="2"/>
        <v>0</v>
      </c>
      <c r="N271" s="7">
        <v>1.0</v>
      </c>
      <c r="O271" s="7"/>
      <c r="P271" s="7">
        <f t="shared" si="3"/>
        <v>1</v>
      </c>
      <c r="Q271" s="7">
        <v>1.0</v>
      </c>
      <c r="R271" s="7"/>
      <c r="S271" s="7">
        <f t="shared" si="4"/>
        <v>1</v>
      </c>
      <c r="T271" s="7">
        <v>0.0</v>
      </c>
      <c r="U271" s="7"/>
      <c r="V271" s="7">
        <f t="shared" si="5"/>
        <v>0</v>
      </c>
      <c r="W271" s="7">
        <v>0.0</v>
      </c>
      <c r="X271" s="7"/>
      <c r="Y271" s="7">
        <f t="shared" si="6"/>
        <v>0</v>
      </c>
      <c r="Z271" s="7">
        <v>0.0</v>
      </c>
      <c r="AA271" s="7"/>
      <c r="AB271" s="7">
        <f t="shared" si="7"/>
        <v>0</v>
      </c>
      <c r="AC271" s="7">
        <v>0.0</v>
      </c>
      <c r="AD271" s="7"/>
      <c r="AE271" s="7">
        <f t="shared" si="8"/>
        <v>0</v>
      </c>
      <c r="AF271" s="10"/>
      <c r="AG271" s="10"/>
      <c r="AH271" s="10"/>
      <c r="AI271" s="10"/>
    </row>
    <row r="272" ht="30.0" customHeight="1">
      <c r="A272" s="7">
        <v>270.0</v>
      </c>
      <c r="B272" s="7">
        <v>4.705086E7</v>
      </c>
      <c r="C272" s="7">
        <v>24.0</v>
      </c>
      <c r="D272" s="7">
        <v>70.0</v>
      </c>
      <c r="E272" s="8" t="s">
        <v>518</v>
      </c>
      <c r="F272" s="9" t="s">
        <v>519</v>
      </c>
      <c r="G272" s="7" t="s">
        <v>27</v>
      </c>
      <c r="H272" s="7">
        <v>2.0</v>
      </c>
      <c r="I272" s="11">
        <v>0.0</v>
      </c>
      <c r="J272" s="7">
        <f t="shared" si="1"/>
        <v>2</v>
      </c>
      <c r="K272" s="7">
        <v>1.0</v>
      </c>
      <c r="L272" s="7"/>
      <c r="M272" s="7">
        <f t="shared" si="2"/>
        <v>1</v>
      </c>
      <c r="N272" s="7">
        <v>0.0</v>
      </c>
      <c r="O272" s="7"/>
      <c r="P272" s="7">
        <f t="shared" si="3"/>
        <v>0</v>
      </c>
      <c r="Q272" s="7">
        <v>1.0</v>
      </c>
      <c r="R272" s="7"/>
      <c r="S272" s="7">
        <f t="shared" si="4"/>
        <v>1</v>
      </c>
      <c r="T272" s="7">
        <v>0.0</v>
      </c>
      <c r="U272" s="7"/>
      <c r="V272" s="7">
        <f t="shared" si="5"/>
        <v>0</v>
      </c>
      <c r="W272" s="7">
        <v>0.0</v>
      </c>
      <c r="X272" s="7"/>
      <c r="Y272" s="7">
        <f t="shared" si="6"/>
        <v>0</v>
      </c>
      <c r="Z272" s="7">
        <v>0.0</v>
      </c>
      <c r="AA272" s="7"/>
      <c r="AB272" s="7">
        <f t="shared" si="7"/>
        <v>0</v>
      </c>
      <c r="AC272" s="7">
        <v>0.0</v>
      </c>
      <c r="AD272" s="7"/>
      <c r="AE272" s="7">
        <f t="shared" si="8"/>
        <v>0</v>
      </c>
      <c r="AF272" s="11">
        <v>0.0</v>
      </c>
      <c r="AG272" s="7">
        <v>2.0</v>
      </c>
      <c r="AH272" s="11">
        <v>0.0</v>
      </c>
      <c r="AI272" s="11">
        <v>0.0</v>
      </c>
    </row>
    <row r="273" ht="30.0" customHeight="1">
      <c r="A273" s="7">
        <v>271.0</v>
      </c>
      <c r="B273" s="7">
        <v>4.7050664E7</v>
      </c>
      <c r="C273" s="7">
        <v>24.0</v>
      </c>
      <c r="D273" s="7">
        <v>70.0</v>
      </c>
      <c r="E273" s="8" t="s">
        <v>520</v>
      </c>
      <c r="F273" s="9" t="s">
        <v>520</v>
      </c>
      <c r="G273" s="7" t="s">
        <v>27</v>
      </c>
      <c r="H273" s="7">
        <v>2.0</v>
      </c>
      <c r="I273" s="7">
        <v>7.0</v>
      </c>
      <c r="J273" s="7">
        <f t="shared" si="1"/>
        <v>2</v>
      </c>
      <c r="K273" s="7">
        <v>2.0</v>
      </c>
      <c r="L273" s="7"/>
      <c r="M273" s="7">
        <f t="shared" si="2"/>
        <v>2</v>
      </c>
      <c r="N273" s="7">
        <v>0.0</v>
      </c>
      <c r="O273" s="7"/>
      <c r="P273" s="7">
        <f t="shared" si="3"/>
        <v>0</v>
      </c>
      <c r="Q273" s="7">
        <v>0.0</v>
      </c>
      <c r="R273" s="7"/>
      <c r="S273" s="7">
        <f t="shared" si="4"/>
        <v>0</v>
      </c>
      <c r="T273" s="7">
        <v>0.0</v>
      </c>
      <c r="U273" s="7"/>
      <c r="V273" s="7">
        <f t="shared" si="5"/>
        <v>0</v>
      </c>
      <c r="W273" s="7">
        <v>0.0</v>
      </c>
      <c r="X273" s="7"/>
      <c r="Y273" s="7">
        <f t="shared" si="6"/>
        <v>0</v>
      </c>
      <c r="Z273" s="7">
        <v>0.0</v>
      </c>
      <c r="AA273" s="7"/>
      <c r="AB273" s="7">
        <f t="shared" si="7"/>
        <v>0</v>
      </c>
      <c r="AC273" s="7">
        <v>0.0</v>
      </c>
      <c r="AD273" s="7"/>
      <c r="AE273" s="7">
        <f t="shared" si="8"/>
        <v>0</v>
      </c>
      <c r="AF273" s="7">
        <v>2.0</v>
      </c>
      <c r="AG273" s="7">
        <v>2.0</v>
      </c>
      <c r="AH273" s="7">
        <v>2.0</v>
      </c>
      <c r="AI273" s="11">
        <v>0.0</v>
      </c>
    </row>
    <row r="274" ht="30.0" customHeight="1">
      <c r="A274" s="7">
        <v>272.0</v>
      </c>
      <c r="B274" s="7">
        <v>4.7050676E7</v>
      </c>
      <c r="C274" s="7">
        <v>24.0</v>
      </c>
      <c r="D274" s="7">
        <v>70.0</v>
      </c>
      <c r="E274" s="8" t="s">
        <v>521</v>
      </c>
      <c r="F274" s="9" t="s">
        <v>521</v>
      </c>
      <c r="G274" s="7" t="s">
        <v>27</v>
      </c>
      <c r="H274" s="7">
        <v>4.0</v>
      </c>
      <c r="I274" s="7">
        <v>3.0</v>
      </c>
      <c r="J274" s="7">
        <f t="shared" si="1"/>
        <v>4</v>
      </c>
      <c r="K274" s="7">
        <v>2.0</v>
      </c>
      <c r="L274" s="7"/>
      <c r="M274" s="7">
        <f t="shared" si="2"/>
        <v>2</v>
      </c>
      <c r="N274" s="7">
        <v>2.0</v>
      </c>
      <c r="O274" s="7"/>
      <c r="P274" s="7">
        <f t="shared" si="3"/>
        <v>2</v>
      </c>
      <c r="Q274" s="7">
        <v>0.0</v>
      </c>
      <c r="R274" s="7"/>
      <c r="S274" s="7">
        <f t="shared" si="4"/>
        <v>0</v>
      </c>
      <c r="T274" s="7">
        <v>0.0</v>
      </c>
      <c r="U274" s="7"/>
      <c r="V274" s="7">
        <f t="shared" si="5"/>
        <v>0</v>
      </c>
      <c r="W274" s="7">
        <v>0.0</v>
      </c>
      <c r="X274" s="7"/>
      <c r="Y274" s="7">
        <f t="shared" si="6"/>
        <v>0</v>
      </c>
      <c r="Z274" s="7">
        <v>0.0</v>
      </c>
      <c r="AA274" s="7"/>
      <c r="AB274" s="7">
        <f t="shared" si="7"/>
        <v>0</v>
      </c>
      <c r="AC274" s="7">
        <v>0.0</v>
      </c>
      <c r="AD274" s="7"/>
      <c r="AE274" s="7">
        <f t="shared" si="8"/>
        <v>0</v>
      </c>
      <c r="AF274" s="10"/>
      <c r="AG274" s="10"/>
      <c r="AH274" s="10"/>
      <c r="AI274" s="10"/>
    </row>
    <row r="275" ht="30.0" customHeight="1">
      <c r="A275" s="7">
        <v>273.0</v>
      </c>
      <c r="B275" s="7">
        <v>4.7050731E7</v>
      </c>
      <c r="C275" s="7">
        <v>24.0</v>
      </c>
      <c r="D275" s="7">
        <v>70.0</v>
      </c>
      <c r="E275" s="8" t="s">
        <v>522</v>
      </c>
      <c r="F275" s="9" t="s">
        <v>523</v>
      </c>
      <c r="G275" s="7" t="s">
        <v>27</v>
      </c>
      <c r="H275" s="7">
        <v>2.0</v>
      </c>
      <c r="I275" s="7">
        <v>1.0</v>
      </c>
      <c r="J275" s="7">
        <f t="shared" si="1"/>
        <v>2</v>
      </c>
      <c r="K275" s="7">
        <v>2.0</v>
      </c>
      <c r="L275" s="7"/>
      <c r="M275" s="7">
        <f t="shared" si="2"/>
        <v>2</v>
      </c>
      <c r="N275" s="7">
        <v>0.0</v>
      </c>
      <c r="O275" s="7"/>
      <c r="P275" s="7">
        <f t="shared" si="3"/>
        <v>0</v>
      </c>
      <c r="Q275" s="7">
        <v>0.0</v>
      </c>
      <c r="R275" s="7"/>
      <c r="S275" s="7">
        <f t="shared" si="4"/>
        <v>0</v>
      </c>
      <c r="T275" s="7">
        <v>0.0</v>
      </c>
      <c r="U275" s="7"/>
      <c r="V275" s="7">
        <f t="shared" si="5"/>
        <v>0</v>
      </c>
      <c r="W275" s="7">
        <v>0.0</v>
      </c>
      <c r="X275" s="7"/>
      <c r="Y275" s="7">
        <f t="shared" si="6"/>
        <v>0</v>
      </c>
      <c r="Z275" s="7">
        <v>0.0</v>
      </c>
      <c r="AA275" s="7"/>
      <c r="AB275" s="7">
        <f t="shared" si="7"/>
        <v>0</v>
      </c>
      <c r="AC275" s="7">
        <v>0.0</v>
      </c>
      <c r="AD275" s="7"/>
      <c r="AE275" s="7">
        <f t="shared" si="8"/>
        <v>0</v>
      </c>
      <c r="AF275" s="10"/>
      <c r="AG275" s="10"/>
      <c r="AH275" s="10"/>
      <c r="AI275" s="10"/>
    </row>
    <row r="276" ht="30.0" customHeight="1">
      <c r="A276" s="7">
        <v>274.0</v>
      </c>
      <c r="B276" s="7">
        <v>4.705078E7</v>
      </c>
      <c r="C276" s="7">
        <v>24.0</v>
      </c>
      <c r="D276" s="7">
        <v>70.0</v>
      </c>
      <c r="E276" s="8" t="s">
        <v>524</v>
      </c>
      <c r="F276" s="9" t="s">
        <v>524</v>
      </c>
      <c r="G276" s="7" t="s">
        <v>27</v>
      </c>
      <c r="H276" s="7">
        <v>3.0</v>
      </c>
      <c r="I276" s="7">
        <v>3.0</v>
      </c>
      <c r="J276" s="7">
        <f t="shared" si="1"/>
        <v>2</v>
      </c>
      <c r="K276" s="7">
        <v>2.0</v>
      </c>
      <c r="L276" s="7"/>
      <c r="M276" s="7">
        <f t="shared" si="2"/>
        <v>2</v>
      </c>
      <c r="N276" s="7">
        <v>0.0</v>
      </c>
      <c r="O276" s="7"/>
      <c r="P276" s="7">
        <f t="shared" si="3"/>
        <v>0</v>
      </c>
      <c r="Q276" s="7">
        <v>0.0</v>
      </c>
      <c r="R276" s="7"/>
      <c r="S276" s="7">
        <f t="shared" si="4"/>
        <v>0</v>
      </c>
      <c r="T276" s="7">
        <v>0.0</v>
      </c>
      <c r="U276" s="7"/>
      <c r="V276" s="7">
        <f t="shared" si="5"/>
        <v>0</v>
      </c>
      <c r="W276" s="7">
        <v>0.0</v>
      </c>
      <c r="X276" s="7"/>
      <c r="Y276" s="7">
        <f t="shared" si="6"/>
        <v>0</v>
      </c>
      <c r="Z276" s="7">
        <v>0.0</v>
      </c>
      <c r="AA276" s="7"/>
      <c r="AB276" s="7">
        <f t="shared" si="7"/>
        <v>0</v>
      </c>
      <c r="AC276" s="7">
        <v>0.0</v>
      </c>
      <c r="AD276" s="7"/>
      <c r="AE276" s="7">
        <f t="shared" si="8"/>
        <v>0</v>
      </c>
      <c r="AF276" s="10"/>
      <c r="AG276" s="10"/>
      <c r="AH276" s="10"/>
      <c r="AI276" s="10"/>
    </row>
    <row r="277" ht="30.0" customHeight="1">
      <c r="A277" s="7">
        <v>275.0</v>
      </c>
      <c r="B277" s="7">
        <v>4.705033E7</v>
      </c>
      <c r="C277" s="7">
        <v>24.0</v>
      </c>
      <c r="D277" s="7">
        <v>70.0</v>
      </c>
      <c r="E277" s="8" t="s">
        <v>525</v>
      </c>
      <c r="F277" s="9" t="s">
        <v>525</v>
      </c>
      <c r="G277" s="7" t="s">
        <v>27</v>
      </c>
      <c r="H277" s="7">
        <v>2.0</v>
      </c>
      <c r="I277" s="7">
        <v>1.0</v>
      </c>
      <c r="J277" s="7">
        <f t="shared" si="1"/>
        <v>2</v>
      </c>
      <c r="K277" s="7">
        <v>2.0</v>
      </c>
      <c r="L277" s="7"/>
      <c r="M277" s="7">
        <f t="shared" si="2"/>
        <v>2</v>
      </c>
      <c r="N277" s="7">
        <v>0.0</v>
      </c>
      <c r="O277" s="7"/>
      <c r="P277" s="7">
        <f t="shared" si="3"/>
        <v>0</v>
      </c>
      <c r="Q277" s="7">
        <v>0.0</v>
      </c>
      <c r="R277" s="7"/>
      <c r="S277" s="7">
        <f t="shared" si="4"/>
        <v>0</v>
      </c>
      <c r="T277" s="7">
        <v>0.0</v>
      </c>
      <c r="U277" s="7"/>
      <c r="V277" s="7">
        <f t="shared" si="5"/>
        <v>0</v>
      </c>
      <c r="W277" s="7">
        <v>0.0</v>
      </c>
      <c r="X277" s="7"/>
      <c r="Y277" s="7">
        <f t="shared" si="6"/>
        <v>0</v>
      </c>
      <c r="Z277" s="7">
        <v>0.0</v>
      </c>
      <c r="AA277" s="7"/>
      <c r="AB277" s="7">
        <f t="shared" si="7"/>
        <v>0</v>
      </c>
      <c r="AC277" s="7">
        <v>0.0</v>
      </c>
      <c r="AD277" s="7"/>
      <c r="AE277" s="7">
        <f t="shared" si="8"/>
        <v>0</v>
      </c>
      <c r="AF277" s="10"/>
      <c r="AG277" s="10"/>
      <c r="AH277" s="10"/>
      <c r="AI277" s="10"/>
    </row>
    <row r="278" ht="30.0" customHeight="1">
      <c r="A278" s="7">
        <v>276.0</v>
      </c>
      <c r="B278" s="7">
        <v>4.7050925E7</v>
      </c>
      <c r="C278" s="7">
        <v>24.0</v>
      </c>
      <c r="D278" s="7">
        <v>70.0</v>
      </c>
      <c r="E278" s="8" t="s">
        <v>526</v>
      </c>
      <c r="F278" s="9" t="s">
        <v>526</v>
      </c>
      <c r="G278" s="7" t="s">
        <v>27</v>
      </c>
      <c r="H278" s="7">
        <v>4.0</v>
      </c>
      <c r="I278" s="7">
        <v>4.0</v>
      </c>
      <c r="J278" s="7">
        <f t="shared" si="1"/>
        <v>4</v>
      </c>
      <c r="K278" s="7">
        <v>0.0</v>
      </c>
      <c r="L278" s="7"/>
      <c r="M278" s="7">
        <f t="shared" si="2"/>
        <v>0</v>
      </c>
      <c r="N278" s="7">
        <v>4.0</v>
      </c>
      <c r="O278" s="7"/>
      <c r="P278" s="7">
        <f t="shared" si="3"/>
        <v>4</v>
      </c>
      <c r="Q278" s="7">
        <v>0.0</v>
      </c>
      <c r="R278" s="7"/>
      <c r="S278" s="7">
        <f t="shared" si="4"/>
        <v>0</v>
      </c>
      <c r="T278" s="7">
        <v>0.0</v>
      </c>
      <c r="U278" s="7"/>
      <c r="V278" s="7">
        <f t="shared" si="5"/>
        <v>0</v>
      </c>
      <c r="W278" s="7">
        <v>0.0</v>
      </c>
      <c r="X278" s="7"/>
      <c r="Y278" s="7">
        <f t="shared" si="6"/>
        <v>0</v>
      </c>
      <c r="Z278" s="7">
        <v>0.0</v>
      </c>
      <c r="AA278" s="7"/>
      <c r="AB278" s="7">
        <f t="shared" si="7"/>
        <v>0</v>
      </c>
      <c r="AC278" s="7">
        <v>0.0</v>
      </c>
      <c r="AD278" s="7"/>
      <c r="AE278" s="7">
        <f t="shared" si="8"/>
        <v>0</v>
      </c>
      <c r="AF278" s="10"/>
      <c r="AG278" s="10"/>
      <c r="AH278" s="10"/>
      <c r="AI278" s="10"/>
    </row>
    <row r="279" ht="30.0" customHeight="1">
      <c r="A279" s="7">
        <v>277.0</v>
      </c>
      <c r="B279" s="7">
        <v>4.7050688E7</v>
      </c>
      <c r="C279" s="7">
        <v>24.0</v>
      </c>
      <c r="D279" s="7">
        <v>70.0</v>
      </c>
      <c r="E279" s="8" t="s">
        <v>527</v>
      </c>
      <c r="F279" s="9" t="s">
        <v>527</v>
      </c>
      <c r="G279" s="7" t="s">
        <v>27</v>
      </c>
      <c r="H279" s="7">
        <v>2.0</v>
      </c>
      <c r="I279" s="11">
        <v>0.0</v>
      </c>
      <c r="J279" s="7">
        <f t="shared" si="1"/>
        <v>2</v>
      </c>
      <c r="K279" s="7">
        <v>1.0</v>
      </c>
      <c r="L279" s="7"/>
      <c r="M279" s="7">
        <f t="shared" si="2"/>
        <v>1</v>
      </c>
      <c r="N279" s="7">
        <v>0.0</v>
      </c>
      <c r="O279" s="7"/>
      <c r="P279" s="7">
        <f t="shared" si="3"/>
        <v>0</v>
      </c>
      <c r="Q279" s="7">
        <v>1.0</v>
      </c>
      <c r="R279" s="7"/>
      <c r="S279" s="7">
        <f t="shared" si="4"/>
        <v>1</v>
      </c>
      <c r="T279" s="7">
        <v>0.0</v>
      </c>
      <c r="U279" s="7"/>
      <c r="V279" s="7">
        <f t="shared" si="5"/>
        <v>0</v>
      </c>
      <c r="W279" s="7">
        <v>0.0</v>
      </c>
      <c r="X279" s="7"/>
      <c r="Y279" s="7">
        <f t="shared" si="6"/>
        <v>0</v>
      </c>
      <c r="Z279" s="7">
        <v>0.0</v>
      </c>
      <c r="AA279" s="7"/>
      <c r="AB279" s="7">
        <f t="shared" si="7"/>
        <v>0</v>
      </c>
      <c r="AC279" s="7">
        <v>0.0</v>
      </c>
      <c r="AD279" s="7"/>
      <c r="AE279" s="7">
        <f t="shared" si="8"/>
        <v>0</v>
      </c>
      <c r="AF279" s="7">
        <v>2.0</v>
      </c>
      <c r="AG279" s="7">
        <v>1.0</v>
      </c>
      <c r="AH279" s="7">
        <v>2.0</v>
      </c>
      <c r="AI279" s="11">
        <v>0.0</v>
      </c>
    </row>
    <row r="280" ht="30.0" customHeight="1">
      <c r="A280" s="7">
        <v>278.0</v>
      </c>
      <c r="B280" s="7">
        <v>4.70501E7</v>
      </c>
      <c r="C280" s="7">
        <v>24.0</v>
      </c>
      <c r="D280" s="7">
        <v>70.0</v>
      </c>
      <c r="E280" s="8" t="s">
        <v>528</v>
      </c>
      <c r="F280" s="9" t="s">
        <v>528</v>
      </c>
      <c r="G280" s="7" t="s">
        <v>27</v>
      </c>
      <c r="H280" s="7">
        <v>4.0</v>
      </c>
      <c r="I280" s="11">
        <v>0.0</v>
      </c>
      <c r="J280" s="7">
        <f t="shared" si="1"/>
        <v>3</v>
      </c>
      <c r="K280" s="7">
        <v>1.0</v>
      </c>
      <c r="L280" s="7"/>
      <c r="M280" s="7">
        <f t="shared" si="2"/>
        <v>1</v>
      </c>
      <c r="N280" s="7">
        <v>1.0</v>
      </c>
      <c r="O280" s="7"/>
      <c r="P280" s="7">
        <f t="shared" si="3"/>
        <v>1</v>
      </c>
      <c r="Q280" s="7">
        <v>1.0</v>
      </c>
      <c r="R280" s="7"/>
      <c r="S280" s="7">
        <f t="shared" si="4"/>
        <v>1</v>
      </c>
      <c r="T280" s="7">
        <v>0.0</v>
      </c>
      <c r="U280" s="7"/>
      <c r="V280" s="7">
        <f t="shared" si="5"/>
        <v>0</v>
      </c>
      <c r="W280" s="7">
        <v>0.0</v>
      </c>
      <c r="X280" s="7"/>
      <c r="Y280" s="7">
        <f t="shared" si="6"/>
        <v>0</v>
      </c>
      <c r="Z280" s="7">
        <v>0.0</v>
      </c>
      <c r="AA280" s="7"/>
      <c r="AB280" s="7">
        <f t="shared" si="7"/>
        <v>0</v>
      </c>
      <c r="AC280" s="7">
        <v>0.0</v>
      </c>
      <c r="AD280" s="7"/>
      <c r="AE280" s="7">
        <f t="shared" si="8"/>
        <v>0</v>
      </c>
      <c r="AF280" s="10"/>
      <c r="AG280" s="10"/>
      <c r="AH280" s="10"/>
      <c r="AI280" s="10"/>
    </row>
    <row r="281" ht="30.0" customHeight="1">
      <c r="A281" s="7">
        <v>279.0</v>
      </c>
      <c r="B281" s="7">
        <v>4.7050792E7</v>
      </c>
      <c r="C281" s="7">
        <v>24.0</v>
      </c>
      <c r="D281" s="7">
        <v>70.0</v>
      </c>
      <c r="E281" s="8" t="s">
        <v>529</v>
      </c>
      <c r="F281" s="9" t="s">
        <v>529</v>
      </c>
      <c r="G281" s="7" t="s">
        <v>27</v>
      </c>
      <c r="H281" s="7">
        <v>6.0</v>
      </c>
      <c r="I281" s="7">
        <v>1.0</v>
      </c>
      <c r="J281" s="7">
        <f t="shared" si="1"/>
        <v>6</v>
      </c>
      <c r="K281" s="7">
        <v>1.0</v>
      </c>
      <c r="L281" s="7"/>
      <c r="M281" s="7">
        <f t="shared" si="2"/>
        <v>1</v>
      </c>
      <c r="N281" s="7">
        <v>5.0</v>
      </c>
      <c r="O281" s="7"/>
      <c r="P281" s="7">
        <f t="shared" si="3"/>
        <v>5</v>
      </c>
      <c r="Q281" s="7">
        <v>0.0</v>
      </c>
      <c r="R281" s="7"/>
      <c r="S281" s="7">
        <f t="shared" si="4"/>
        <v>0</v>
      </c>
      <c r="T281" s="7">
        <v>0.0</v>
      </c>
      <c r="U281" s="7"/>
      <c r="V281" s="7">
        <f t="shared" si="5"/>
        <v>0</v>
      </c>
      <c r="W281" s="7">
        <v>0.0</v>
      </c>
      <c r="X281" s="7"/>
      <c r="Y281" s="7">
        <f t="shared" si="6"/>
        <v>0</v>
      </c>
      <c r="Z281" s="7">
        <v>0.0</v>
      </c>
      <c r="AA281" s="7"/>
      <c r="AB281" s="7">
        <f t="shared" si="7"/>
        <v>0</v>
      </c>
      <c r="AC281" s="7">
        <v>0.0</v>
      </c>
      <c r="AD281" s="7"/>
      <c r="AE281" s="7">
        <f t="shared" si="8"/>
        <v>0</v>
      </c>
      <c r="AF281" s="10"/>
      <c r="AG281" s="10"/>
      <c r="AH281" s="10"/>
      <c r="AI281" s="10"/>
    </row>
    <row r="282" ht="30.0" customHeight="1">
      <c r="A282" s="7">
        <v>280.0</v>
      </c>
      <c r="B282" s="7">
        <v>4.7050081E7</v>
      </c>
      <c r="C282" s="7">
        <v>24.0</v>
      </c>
      <c r="D282" s="7">
        <v>70.0</v>
      </c>
      <c r="E282" s="8" t="s">
        <v>530</v>
      </c>
      <c r="F282" s="9" t="s">
        <v>530</v>
      </c>
      <c r="G282" s="7" t="s">
        <v>27</v>
      </c>
      <c r="H282" s="7">
        <v>4.0</v>
      </c>
      <c r="I282" s="7">
        <v>3.0</v>
      </c>
      <c r="J282" s="7">
        <f t="shared" si="1"/>
        <v>4</v>
      </c>
      <c r="K282" s="7">
        <v>0.0</v>
      </c>
      <c r="L282" s="7"/>
      <c r="M282" s="7">
        <f t="shared" si="2"/>
        <v>0</v>
      </c>
      <c r="N282" s="7">
        <v>2.0</v>
      </c>
      <c r="O282" s="7"/>
      <c r="P282" s="7">
        <f t="shared" si="3"/>
        <v>2</v>
      </c>
      <c r="Q282" s="7">
        <v>2.0</v>
      </c>
      <c r="R282" s="7"/>
      <c r="S282" s="7">
        <f t="shared" si="4"/>
        <v>2</v>
      </c>
      <c r="T282" s="7">
        <v>0.0</v>
      </c>
      <c r="U282" s="7"/>
      <c r="V282" s="7">
        <f t="shared" si="5"/>
        <v>0</v>
      </c>
      <c r="W282" s="7">
        <v>0.0</v>
      </c>
      <c r="X282" s="7"/>
      <c r="Y282" s="7">
        <f t="shared" si="6"/>
        <v>0</v>
      </c>
      <c r="Z282" s="7">
        <v>0.0</v>
      </c>
      <c r="AA282" s="7"/>
      <c r="AB282" s="7">
        <f t="shared" si="7"/>
        <v>0</v>
      </c>
      <c r="AC282" s="7">
        <v>0.0</v>
      </c>
      <c r="AD282" s="7"/>
      <c r="AE282" s="7">
        <f t="shared" si="8"/>
        <v>0</v>
      </c>
      <c r="AF282" s="10"/>
      <c r="AG282" s="10"/>
      <c r="AH282" s="10"/>
      <c r="AI282" s="10"/>
    </row>
    <row r="283" ht="30.0" customHeight="1">
      <c r="A283" s="7">
        <v>281.0</v>
      </c>
      <c r="B283" s="7">
        <v>4.7050949E7</v>
      </c>
      <c r="C283" s="7">
        <v>24.0</v>
      </c>
      <c r="D283" s="7">
        <v>70.0</v>
      </c>
      <c r="E283" s="8" t="s">
        <v>531</v>
      </c>
      <c r="F283" s="9" t="s">
        <v>531</v>
      </c>
      <c r="G283" s="7" t="s">
        <v>27</v>
      </c>
      <c r="H283" s="7">
        <v>2.0</v>
      </c>
      <c r="I283" s="7">
        <v>1.0</v>
      </c>
      <c r="J283" s="7">
        <f t="shared" si="1"/>
        <v>2</v>
      </c>
      <c r="K283" s="7">
        <v>0.0</v>
      </c>
      <c r="L283" s="7"/>
      <c r="M283" s="7">
        <f t="shared" si="2"/>
        <v>0</v>
      </c>
      <c r="N283" s="7">
        <v>2.0</v>
      </c>
      <c r="O283" s="7"/>
      <c r="P283" s="7">
        <f t="shared" si="3"/>
        <v>2</v>
      </c>
      <c r="Q283" s="7">
        <v>0.0</v>
      </c>
      <c r="R283" s="7"/>
      <c r="S283" s="7">
        <f t="shared" si="4"/>
        <v>0</v>
      </c>
      <c r="T283" s="7">
        <v>0.0</v>
      </c>
      <c r="U283" s="7"/>
      <c r="V283" s="7">
        <f t="shared" si="5"/>
        <v>0</v>
      </c>
      <c r="W283" s="7">
        <v>0.0</v>
      </c>
      <c r="X283" s="7"/>
      <c r="Y283" s="7">
        <f t="shared" si="6"/>
        <v>0</v>
      </c>
      <c r="Z283" s="7">
        <v>0.0</v>
      </c>
      <c r="AA283" s="7"/>
      <c r="AB283" s="7">
        <f t="shared" si="7"/>
        <v>0</v>
      </c>
      <c r="AC283" s="7">
        <v>0.0</v>
      </c>
      <c r="AD283" s="7"/>
      <c r="AE283" s="7">
        <f t="shared" si="8"/>
        <v>0</v>
      </c>
      <c r="AF283" s="10"/>
      <c r="AG283" s="10"/>
      <c r="AH283" s="10"/>
      <c r="AI283" s="10"/>
    </row>
    <row r="284" ht="30.0" customHeight="1">
      <c r="A284" s="7">
        <v>282.0</v>
      </c>
      <c r="B284" s="7">
        <v>4.7050068E7</v>
      </c>
      <c r="C284" s="7">
        <v>24.0</v>
      </c>
      <c r="D284" s="7">
        <v>70.0</v>
      </c>
      <c r="E284" s="8" t="s">
        <v>532</v>
      </c>
      <c r="F284" s="9" t="s">
        <v>533</v>
      </c>
      <c r="G284" s="7" t="s">
        <v>27</v>
      </c>
      <c r="H284" s="7">
        <v>2.0</v>
      </c>
      <c r="I284" s="11">
        <v>0.0</v>
      </c>
      <c r="J284" s="7">
        <f t="shared" si="1"/>
        <v>2</v>
      </c>
      <c r="K284" s="7">
        <v>0.0</v>
      </c>
      <c r="L284" s="7"/>
      <c r="M284" s="7">
        <f t="shared" si="2"/>
        <v>0</v>
      </c>
      <c r="N284" s="7">
        <v>0.0</v>
      </c>
      <c r="O284" s="7"/>
      <c r="P284" s="7">
        <f t="shared" si="3"/>
        <v>0</v>
      </c>
      <c r="Q284" s="7">
        <v>2.0</v>
      </c>
      <c r="R284" s="7"/>
      <c r="S284" s="7">
        <f t="shared" si="4"/>
        <v>2</v>
      </c>
      <c r="T284" s="7">
        <v>0.0</v>
      </c>
      <c r="U284" s="7"/>
      <c r="V284" s="7">
        <f t="shared" si="5"/>
        <v>0</v>
      </c>
      <c r="W284" s="7">
        <v>0.0</v>
      </c>
      <c r="X284" s="7"/>
      <c r="Y284" s="7">
        <f t="shared" si="6"/>
        <v>0</v>
      </c>
      <c r="Z284" s="7">
        <v>0.0</v>
      </c>
      <c r="AA284" s="7"/>
      <c r="AB284" s="7">
        <f t="shared" si="7"/>
        <v>0</v>
      </c>
      <c r="AC284" s="7">
        <v>0.0</v>
      </c>
      <c r="AD284" s="7"/>
      <c r="AE284" s="7">
        <f t="shared" si="8"/>
        <v>0</v>
      </c>
      <c r="AF284" s="7">
        <v>2.0</v>
      </c>
      <c r="AG284" s="11">
        <v>0.0</v>
      </c>
      <c r="AH284" s="7">
        <v>2.0</v>
      </c>
      <c r="AI284" s="11">
        <v>0.0</v>
      </c>
    </row>
    <row r="285" ht="30.0" customHeight="1">
      <c r="A285" s="7">
        <v>283.0</v>
      </c>
      <c r="B285" s="7">
        <v>4.7050755E7</v>
      </c>
      <c r="C285" s="7">
        <v>24.0</v>
      </c>
      <c r="D285" s="7">
        <v>70.0</v>
      </c>
      <c r="E285" s="8" t="s">
        <v>534</v>
      </c>
      <c r="F285" s="9" t="s">
        <v>535</v>
      </c>
      <c r="G285" s="7" t="s">
        <v>27</v>
      </c>
      <c r="H285" s="7">
        <v>2.0</v>
      </c>
      <c r="I285" s="7">
        <v>1.0</v>
      </c>
      <c r="J285" s="7">
        <f t="shared" si="1"/>
        <v>1</v>
      </c>
      <c r="K285" s="7">
        <v>1.0</v>
      </c>
      <c r="L285" s="7"/>
      <c r="M285" s="7">
        <f t="shared" si="2"/>
        <v>1</v>
      </c>
      <c r="N285" s="7">
        <v>0.0</v>
      </c>
      <c r="O285" s="7"/>
      <c r="P285" s="7">
        <f t="shared" si="3"/>
        <v>0</v>
      </c>
      <c r="Q285" s="7">
        <v>0.0</v>
      </c>
      <c r="R285" s="7"/>
      <c r="S285" s="7">
        <f t="shared" si="4"/>
        <v>0</v>
      </c>
      <c r="T285" s="7">
        <v>0.0</v>
      </c>
      <c r="U285" s="7"/>
      <c r="V285" s="7">
        <f t="shared" si="5"/>
        <v>0</v>
      </c>
      <c r="W285" s="7">
        <v>0.0</v>
      </c>
      <c r="X285" s="7"/>
      <c r="Y285" s="7">
        <f t="shared" si="6"/>
        <v>0</v>
      </c>
      <c r="Z285" s="7">
        <v>0.0</v>
      </c>
      <c r="AA285" s="7"/>
      <c r="AB285" s="7">
        <f t="shared" si="7"/>
        <v>0</v>
      </c>
      <c r="AC285" s="7">
        <v>0.0</v>
      </c>
      <c r="AD285" s="7"/>
      <c r="AE285" s="7">
        <f t="shared" si="8"/>
        <v>0</v>
      </c>
      <c r="AF285" s="10"/>
      <c r="AG285" s="10"/>
      <c r="AH285" s="10"/>
      <c r="AI285" s="10"/>
    </row>
    <row r="286" ht="30.0" customHeight="1">
      <c r="A286" s="7">
        <v>284.0</v>
      </c>
      <c r="B286" s="7">
        <v>4.7050834E7</v>
      </c>
      <c r="C286" s="7">
        <v>24.0</v>
      </c>
      <c r="D286" s="7">
        <v>70.0</v>
      </c>
      <c r="E286" s="8" t="s">
        <v>536</v>
      </c>
      <c r="F286" s="9" t="s">
        <v>536</v>
      </c>
      <c r="G286" s="7" t="s">
        <v>27</v>
      </c>
      <c r="H286" s="7">
        <v>2.0</v>
      </c>
      <c r="I286" s="11">
        <v>0.0</v>
      </c>
      <c r="J286" s="7">
        <f t="shared" si="1"/>
        <v>2</v>
      </c>
      <c r="K286" s="7">
        <v>2.0</v>
      </c>
      <c r="L286" s="7"/>
      <c r="M286" s="7">
        <f t="shared" si="2"/>
        <v>2</v>
      </c>
      <c r="N286" s="7">
        <v>0.0</v>
      </c>
      <c r="O286" s="7"/>
      <c r="P286" s="7">
        <f t="shared" si="3"/>
        <v>0</v>
      </c>
      <c r="Q286" s="7">
        <v>0.0</v>
      </c>
      <c r="R286" s="7"/>
      <c r="S286" s="7">
        <f t="shared" si="4"/>
        <v>0</v>
      </c>
      <c r="T286" s="7">
        <v>0.0</v>
      </c>
      <c r="U286" s="7"/>
      <c r="V286" s="7">
        <f t="shared" si="5"/>
        <v>0</v>
      </c>
      <c r="W286" s="7">
        <v>0.0</v>
      </c>
      <c r="X286" s="7"/>
      <c r="Y286" s="7">
        <f t="shared" si="6"/>
        <v>0</v>
      </c>
      <c r="Z286" s="7">
        <v>0.0</v>
      </c>
      <c r="AA286" s="7"/>
      <c r="AB286" s="7">
        <f t="shared" si="7"/>
        <v>0</v>
      </c>
      <c r="AC286" s="7">
        <v>0.0</v>
      </c>
      <c r="AD286" s="7"/>
      <c r="AE286" s="7">
        <f t="shared" si="8"/>
        <v>0</v>
      </c>
      <c r="AF286" s="10"/>
      <c r="AG286" s="10"/>
      <c r="AH286" s="10"/>
      <c r="AI286" s="10"/>
    </row>
    <row r="287" ht="30.0" customHeight="1">
      <c r="A287" s="7">
        <v>285.0</v>
      </c>
      <c r="B287" s="7">
        <v>4.7050767E7</v>
      </c>
      <c r="C287" s="7">
        <v>24.0</v>
      </c>
      <c r="D287" s="7">
        <v>70.0</v>
      </c>
      <c r="E287" s="8" t="s">
        <v>537</v>
      </c>
      <c r="F287" s="9" t="s">
        <v>537</v>
      </c>
      <c r="G287" s="7" t="s">
        <v>27</v>
      </c>
      <c r="H287" s="7">
        <v>2.0</v>
      </c>
      <c r="I287" s="7">
        <v>6.0</v>
      </c>
      <c r="J287" s="7">
        <f t="shared" si="1"/>
        <v>2</v>
      </c>
      <c r="K287" s="7">
        <v>0.0</v>
      </c>
      <c r="L287" s="7"/>
      <c r="M287" s="7">
        <f t="shared" si="2"/>
        <v>0</v>
      </c>
      <c r="N287" s="7">
        <v>2.0</v>
      </c>
      <c r="O287" s="7"/>
      <c r="P287" s="7">
        <f t="shared" si="3"/>
        <v>2</v>
      </c>
      <c r="Q287" s="7">
        <v>0.0</v>
      </c>
      <c r="R287" s="7"/>
      <c r="S287" s="7">
        <f t="shared" si="4"/>
        <v>0</v>
      </c>
      <c r="T287" s="7">
        <v>0.0</v>
      </c>
      <c r="U287" s="7"/>
      <c r="V287" s="7">
        <f t="shared" si="5"/>
        <v>0</v>
      </c>
      <c r="W287" s="7">
        <v>0.0</v>
      </c>
      <c r="X287" s="7"/>
      <c r="Y287" s="7">
        <f t="shared" si="6"/>
        <v>0</v>
      </c>
      <c r="Z287" s="7">
        <v>0.0</v>
      </c>
      <c r="AA287" s="7"/>
      <c r="AB287" s="7">
        <f t="shared" si="7"/>
        <v>0</v>
      </c>
      <c r="AC287" s="7">
        <v>0.0</v>
      </c>
      <c r="AD287" s="7"/>
      <c r="AE287" s="7">
        <f t="shared" si="8"/>
        <v>0</v>
      </c>
      <c r="AF287" s="10"/>
      <c r="AG287" s="10"/>
      <c r="AH287" s="10"/>
      <c r="AI287" s="10"/>
    </row>
    <row r="288" ht="30.0" customHeight="1">
      <c r="A288" s="7">
        <v>286.0</v>
      </c>
      <c r="B288" s="7">
        <v>4.7050196E7</v>
      </c>
      <c r="C288" s="7">
        <v>24.0</v>
      </c>
      <c r="D288" s="7">
        <v>70.0</v>
      </c>
      <c r="E288" s="8" t="s">
        <v>538</v>
      </c>
      <c r="F288" s="9" t="s">
        <v>539</v>
      </c>
      <c r="G288" s="7" t="s">
        <v>27</v>
      </c>
      <c r="H288" s="7">
        <v>4.0</v>
      </c>
      <c r="I288" s="7">
        <v>3.0</v>
      </c>
      <c r="J288" s="7">
        <f t="shared" si="1"/>
        <v>4</v>
      </c>
      <c r="K288" s="7">
        <v>1.0</v>
      </c>
      <c r="L288" s="7"/>
      <c r="M288" s="7">
        <f t="shared" si="2"/>
        <v>1</v>
      </c>
      <c r="N288" s="7">
        <v>2.0</v>
      </c>
      <c r="O288" s="7"/>
      <c r="P288" s="7">
        <f t="shared" si="3"/>
        <v>2</v>
      </c>
      <c r="Q288" s="7">
        <v>1.0</v>
      </c>
      <c r="R288" s="7"/>
      <c r="S288" s="7">
        <f t="shared" si="4"/>
        <v>1</v>
      </c>
      <c r="T288" s="7">
        <v>0.0</v>
      </c>
      <c r="U288" s="7"/>
      <c r="V288" s="7">
        <f t="shared" si="5"/>
        <v>0</v>
      </c>
      <c r="W288" s="7">
        <v>0.0</v>
      </c>
      <c r="X288" s="7"/>
      <c r="Y288" s="7">
        <f t="shared" si="6"/>
        <v>0</v>
      </c>
      <c r="Z288" s="7">
        <v>0.0</v>
      </c>
      <c r="AA288" s="7"/>
      <c r="AB288" s="7">
        <f t="shared" si="7"/>
        <v>0</v>
      </c>
      <c r="AC288" s="7">
        <v>0.0</v>
      </c>
      <c r="AD288" s="7"/>
      <c r="AE288" s="7">
        <f t="shared" si="8"/>
        <v>0</v>
      </c>
      <c r="AF288" s="10"/>
      <c r="AG288" s="10"/>
      <c r="AH288" s="10"/>
      <c r="AI288" s="10"/>
    </row>
    <row r="289" ht="30.0" customHeight="1">
      <c r="A289" s="7">
        <v>287.0</v>
      </c>
      <c r="B289" s="7">
        <v>4.7050263E7</v>
      </c>
      <c r="C289" s="7">
        <v>24.0</v>
      </c>
      <c r="D289" s="7">
        <v>70.0</v>
      </c>
      <c r="E289" s="8" t="s">
        <v>540</v>
      </c>
      <c r="F289" s="9" t="s">
        <v>541</v>
      </c>
      <c r="G289" s="7" t="s">
        <v>27</v>
      </c>
      <c r="H289" s="7">
        <v>2.0</v>
      </c>
      <c r="I289" s="7">
        <v>1.0</v>
      </c>
      <c r="J289" s="7">
        <f t="shared" si="1"/>
        <v>2</v>
      </c>
      <c r="K289" s="7">
        <v>1.0</v>
      </c>
      <c r="L289" s="7"/>
      <c r="M289" s="7">
        <f t="shared" si="2"/>
        <v>1</v>
      </c>
      <c r="N289" s="7">
        <v>1.0</v>
      </c>
      <c r="O289" s="7"/>
      <c r="P289" s="7">
        <f t="shared" si="3"/>
        <v>1</v>
      </c>
      <c r="Q289" s="7">
        <v>0.0</v>
      </c>
      <c r="R289" s="7"/>
      <c r="S289" s="7">
        <f t="shared" si="4"/>
        <v>0</v>
      </c>
      <c r="T289" s="7">
        <v>0.0</v>
      </c>
      <c r="U289" s="7"/>
      <c r="V289" s="7">
        <f t="shared" si="5"/>
        <v>0</v>
      </c>
      <c r="W289" s="7">
        <v>0.0</v>
      </c>
      <c r="X289" s="7"/>
      <c r="Y289" s="7">
        <f t="shared" si="6"/>
        <v>0</v>
      </c>
      <c r="Z289" s="7">
        <v>0.0</v>
      </c>
      <c r="AA289" s="7"/>
      <c r="AB289" s="7">
        <f t="shared" si="7"/>
        <v>0</v>
      </c>
      <c r="AC289" s="7">
        <v>0.0</v>
      </c>
      <c r="AD289" s="7"/>
      <c r="AE289" s="7">
        <f t="shared" si="8"/>
        <v>0</v>
      </c>
      <c r="AF289" s="10"/>
      <c r="AG289" s="10"/>
      <c r="AH289" s="10"/>
      <c r="AI289" s="10"/>
    </row>
    <row r="290" ht="30.0" customHeight="1">
      <c r="A290" s="7">
        <v>288.0</v>
      </c>
      <c r="B290" s="7">
        <v>4.7050202E7</v>
      </c>
      <c r="C290" s="7">
        <v>24.0</v>
      </c>
      <c r="D290" s="7">
        <v>70.0</v>
      </c>
      <c r="E290" s="8" t="s">
        <v>542</v>
      </c>
      <c r="F290" s="9" t="s">
        <v>543</v>
      </c>
      <c r="G290" s="7" t="s">
        <v>27</v>
      </c>
      <c r="H290" s="7">
        <v>2.0</v>
      </c>
      <c r="I290" s="11">
        <v>0.0</v>
      </c>
      <c r="J290" s="7">
        <f t="shared" si="1"/>
        <v>1</v>
      </c>
      <c r="K290" s="7">
        <v>1.0</v>
      </c>
      <c r="L290" s="7"/>
      <c r="M290" s="7">
        <f t="shared" si="2"/>
        <v>1</v>
      </c>
      <c r="N290" s="7">
        <v>0.0</v>
      </c>
      <c r="O290" s="7"/>
      <c r="P290" s="7">
        <f t="shared" si="3"/>
        <v>0</v>
      </c>
      <c r="Q290" s="7">
        <v>0.0</v>
      </c>
      <c r="R290" s="7"/>
      <c r="S290" s="7">
        <f t="shared" si="4"/>
        <v>0</v>
      </c>
      <c r="T290" s="7">
        <v>0.0</v>
      </c>
      <c r="U290" s="7"/>
      <c r="V290" s="7">
        <f t="shared" si="5"/>
        <v>0</v>
      </c>
      <c r="W290" s="7">
        <v>0.0</v>
      </c>
      <c r="X290" s="7"/>
      <c r="Y290" s="7">
        <f t="shared" si="6"/>
        <v>0</v>
      </c>
      <c r="Z290" s="7">
        <v>0.0</v>
      </c>
      <c r="AA290" s="7"/>
      <c r="AB290" s="7">
        <f t="shared" si="7"/>
        <v>0</v>
      </c>
      <c r="AC290" s="7">
        <v>0.0</v>
      </c>
      <c r="AD290" s="7"/>
      <c r="AE290" s="7">
        <f t="shared" si="8"/>
        <v>0</v>
      </c>
      <c r="AF290" s="11">
        <v>0.0</v>
      </c>
      <c r="AG290" s="11">
        <v>0.0</v>
      </c>
      <c r="AH290" s="7">
        <v>3.0</v>
      </c>
      <c r="AI290" s="11">
        <v>0.0</v>
      </c>
    </row>
    <row r="291" ht="30.0" customHeight="1">
      <c r="A291" s="7">
        <v>289.0</v>
      </c>
      <c r="B291" s="7">
        <v>4.7050743E7</v>
      </c>
      <c r="C291" s="7">
        <v>24.0</v>
      </c>
      <c r="D291" s="7">
        <v>70.0</v>
      </c>
      <c r="E291" s="8" t="s">
        <v>544</v>
      </c>
      <c r="F291" s="9" t="s">
        <v>545</v>
      </c>
      <c r="G291" s="7" t="s">
        <v>27</v>
      </c>
      <c r="H291" s="7">
        <v>2.0</v>
      </c>
      <c r="I291" s="7">
        <v>1.0</v>
      </c>
      <c r="J291" s="7">
        <f t="shared" si="1"/>
        <v>2</v>
      </c>
      <c r="K291" s="7">
        <v>1.0</v>
      </c>
      <c r="L291" s="7"/>
      <c r="M291" s="7">
        <f t="shared" si="2"/>
        <v>1</v>
      </c>
      <c r="N291" s="7">
        <v>0.0</v>
      </c>
      <c r="O291" s="7"/>
      <c r="P291" s="7">
        <f t="shared" si="3"/>
        <v>0</v>
      </c>
      <c r="Q291" s="7">
        <v>1.0</v>
      </c>
      <c r="R291" s="7"/>
      <c r="S291" s="7">
        <f t="shared" si="4"/>
        <v>1</v>
      </c>
      <c r="T291" s="7">
        <v>0.0</v>
      </c>
      <c r="U291" s="7"/>
      <c r="V291" s="7">
        <f t="shared" si="5"/>
        <v>0</v>
      </c>
      <c r="W291" s="7">
        <v>0.0</v>
      </c>
      <c r="X291" s="7"/>
      <c r="Y291" s="7">
        <f t="shared" si="6"/>
        <v>0</v>
      </c>
      <c r="Z291" s="7">
        <v>0.0</v>
      </c>
      <c r="AA291" s="7"/>
      <c r="AB291" s="7">
        <f t="shared" si="7"/>
        <v>0</v>
      </c>
      <c r="AC291" s="7">
        <v>0.0</v>
      </c>
      <c r="AD291" s="7"/>
      <c r="AE291" s="7">
        <f t="shared" si="8"/>
        <v>0</v>
      </c>
      <c r="AF291" s="10"/>
      <c r="AG291" s="10"/>
      <c r="AH291" s="10"/>
      <c r="AI291" s="10"/>
    </row>
    <row r="292" ht="30.0" customHeight="1">
      <c r="A292" s="7">
        <v>290.0</v>
      </c>
      <c r="B292" s="7">
        <v>4.7050512E7</v>
      </c>
      <c r="C292" s="7">
        <v>24.0</v>
      </c>
      <c r="D292" s="7">
        <v>70.0</v>
      </c>
      <c r="E292" s="8" t="s">
        <v>546</v>
      </c>
      <c r="F292" s="9" t="s">
        <v>547</v>
      </c>
      <c r="G292" s="7" t="s">
        <v>27</v>
      </c>
      <c r="H292" s="7">
        <v>2.0</v>
      </c>
      <c r="I292" s="7">
        <v>1.0</v>
      </c>
      <c r="J292" s="7">
        <f t="shared" si="1"/>
        <v>2</v>
      </c>
      <c r="K292" s="7">
        <v>1.0</v>
      </c>
      <c r="L292" s="7"/>
      <c r="M292" s="7">
        <f t="shared" si="2"/>
        <v>1</v>
      </c>
      <c r="N292" s="7">
        <v>1.0</v>
      </c>
      <c r="O292" s="7"/>
      <c r="P292" s="7">
        <f t="shared" si="3"/>
        <v>1</v>
      </c>
      <c r="Q292" s="7">
        <v>0.0</v>
      </c>
      <c r="R292" s="7"/>
      <c r="S292" s="7">
        <f t="shared" si="4"/>
        <v>0</v>
      </c>
      <c r="T292" s="7">
        <v>0.0</v>
      </c>
      <c r="U292" s="7"/>
      <c r="V292" s="7">
        <f t="shared" si="5"/>
        <v>0</v>
      </c>
      <c r="W292" s="7">
        <v>0.0</v>
      </c>
      <c r="X292" s="7"/>
      <c r="Y292" s="7">
        <f t="shared" si="6"/>
        <v>0</v>
      </c>
      <c r="Z292" s="7">
        <v>0.0</v>
      </c>
      <c r="AA292" s="7"/>
      <c r="AB292" s="7">
        <f t="shared" si="7"/>
        <v>0</v>
      </c>
      <c r="AC292" s="7">
        <v>0.0</v>
      </c>
      <c r="AD292" s="7"/>
      <c r="AE292" s="7">
        <f t="shared" si="8"/>
        <v>0</v>
      </c>
      <c r="AF292" s="11">
        <v>0.0</v>
      </c>
      <c r="AG292" s="11">
        <v>0.0</v>
      </c>
      <c r="AH292" s="7">
        <v>1.0</v>
      </c>
      <c r="AI292" s="11">
        <v>0.0</v>
      </c>
    </row>
    <row r="293" ht="30.0" customHeight="1">
      <c r="A293" s="7">
        <v>291.0</v>
      </c>
      <c r="B293" s="7">
        <v>4.7050652E7</v>
      </c>
      <c r="C293" s="7">
        <v>24.0</v>
      </c>
      <c r="D293" s="7">
        <v>70.0</v>
      </c>
      <c r="E293" s="8" t="s">
        <v>548</v>
      </c>
      <c r="F293" s="9" t="s">
        <v>549</v>
      </c>
      <c r="G293" s="7" t="s">
        <v>27</v>
      </c>
      <c r="H293" s="7">
        <v>2.0</v>
      </c>
      <c r="I293" s="11">
        <v>0.0</v>
      </c>
      <c r="J293" s="7">
        <f t="shared" si="1"/>
        <v>2</v>
      </c>
      <c r="K293" s="7">
        <v>1.0</v>
      </c>
      <c r="L293" s="7"/>
      <c r="M293" s="7">
        <f t="shared" si="2"/>
        <v>1</v>
      </c>
      <c r="N293" s="7">
        <v>0.0</v>
      </c>
      <c r="O293" s="7"/>
      <c r="P293" s="7">
        <f t="shared" si="3"/>
        <v>0</v>
      </c>
      <c r="Q293" s="7">
        <v>1.0</v>
      </c>
      <c r="R293" s="7"/>
      <c r="S293" s="7">
        <f t="shared" si="4"/>
        <v>1</v>
      </c>
      <c r="T293" s="7">
        <v>0.0</v>
      </c>
      <c r="U293" s="7"/>
      <c r="V293" s="7">
        <f t="shared" si="5"/>
        <v>0</v>
      </c>
      <c r="W293" s="7">
        <v>0.0</v>
      </c>
      <c r="X293" s="7"/>
      <c r="Y293" s="7">
        <f t="shared" si="6"/>
        <v>0</v>
      </c>
      <c r="Z293" s="7">
        <v>0.0</v>
      </c>
      <c r="AA293" s="7"/>
      <c r="AB293" s="7">
        <f t="shared" si="7"/>
        <v>0</v>
      </c>
      <c r="AC293" s="7">
        <v>0.0</v>
      </c>
      <c r="AD293" s="7"/>
      <c r="AE293" s="7">
        <f t="shared" si="8"/>
        <v>0</v>
      </c>
      <c r="AF293" s="10"/>
      <c r="AG293" s="10"/>
      <c r="AH293" s="10"/>
      <c r="AI293" s="10"/>
    </row>
    <row r="294" ht="30.0" customHeight="1">
      <c r="A294" s="7">
        <v>292.0</v>
      </c>
      <c r="B294" s="7">
        <v>4.7050159E7</v>
      </c>
      <c r="C294" s="7">
        <v>24.0</v>
      </c>
      <c r="D294" s="7">
        <v>70.0</v>
      </c>
      <c r="E294" s="8" t="s">
        <v>550</v>
      </c>
      <c r="F294" s="9" t="s">
        <v>551</v>
      </c>
      <c r="G294" s="7" t="s">
        <v>27</v>
      </c>
      <c r="H294" s="7">
        <v>2.0</v>
      </c>
      <c r="I294" s="7">
        <v>1.0</v>
      </c>
      <c r="J294" s="7">
        <f t="shared" si="1"/>
        <v>2</v>
      </c>
      <c r="K294" s="7">
        <v>1.0</v>
      </c>
      <c r="L294" s="7"/>
      <c r="M294" s="7">
        <f t="shared" si="2"/>
        <v>1</v>
      </c>
      <c r="N294" s="7">
        <v>0.0</v>
      </c>
      <c r="O294" s="7"/>
      <c r="P294" s="7">
        <f t="shared" si="3"/>
        <v>0</v>
      </c>
      <c r="Q294" s="7">
        <v>1.0</v>
      </c>
      <c r="R294" s="7"/>
      <c r="S294" s="7">
        <f t="shared" si="4"/>
        <v>1</v>
      </c>
      <c r="T294" s="7">
        <v>0.0</v>
      </c>
      <c r="U294" s="7"/>
      <c r="V294" s="7">
        <f t="shared" si="5"/>
        <v>0</v>
      </c>
      <c r="W294" s="7">
        <v>0.0</v>
      </c>
      <c r="X294" s="7"/>
      <c r="Y294" s="7">
        <f t="shared" si="6"/>
        <v>0</v>
      </c>
      <c r="Z294" s="7">
        <v>0.0</v>
      </c>
      <c r="AA294" s="7"/>
      <c r="AB294" s="7">
        <f t="shared" si="7"/>
        <v>0</v>
      </c>
      <c r="AC294" s="7">
        <v>0.0</v>
      </c>
      <c r="AD294" s="7"/>
      <c r="AE294" s="7">
        <f t="shared" si="8"/>
        <v>0</v>
      </c>
      <c r="AF294" s="10"/>
      <c r="AG294" s="10"/>
      <c r="AH294" s="10"/>
      <c r="AI294" s="10"/>
    </row>
    <row r="295" ht="30.0" customHeight="1">
      <c r="A295" s="7">
        <v>293.0</v>
      </c>
      <c r="B295" s="7">
        <v>4.705016E7</v>
      </c>
      <c r="C295" s="7">
        <v>24.0</v>
      </c>
      <c r="D295" s="7">
        <v>70.0</v>
      </c>
      <c r="E295" s="8" t="s">
        <v>552</v>
      </c>
      <c r="F295" s="9" t="s">
        <v>553</v>
      </c>
      <c r="G295" s="7" t="s">
        <v>27</v>
      </c>
      <c r="H295" s="7">
        <v>2.0</v>
      </c>
      <c r="I295" s="7">
        <v>3.0</v>
      </c>
      <c r="J295" s="7">
        <f t="shared" si="1"/>
        <v>2</v>
      </c>
      <c r="K295" s="7">
        <v>0.0</v>
      </c>
      <c r="L295" s="7"/>
      <c r="M295" s="7">
        <f t="shared" si="2"/>
        <v>0</v>
      </c>
      <c r="N295" s="7">
        <v>1.0</v>
      </c>
      <c r="O295" s="7"/>
      <c r="P295" s="7">
        <f t="shared" si="3"/>
        <v>1</v>
      </c>
      <c r="Q295" s="7">
        <v>1.0</v>
      </c>
      <c r="R295" s="7"/>
      <c r="S295" s="7">
        <f t="shared" si="4"/>
        <v>1</v>
      </c>
      <c r="T295" s="7">
        <v>0.0</v>
      </c>
      <c r="U295" s="7"/>
      <c r="V295" s="7">
        <f t="shared" si="5"/>
        <v>0</v>
      </c>
      <c r="W295" s="7">
        <v>0.0</v>
      </c>
      <c r="X295" s="7"/>
      <c r="Y295" s="7">
        <f t="shared" si="6"/>
        <v>0</v>
      </c>
      <c r="Z295" s="7">
        <v>0.0</v>
      </c>
      <c r="AA295" s="7"/>
      <c r="AB295" s="7">
        <f t="shared" si="7"/>
        <v>0</v>
      </c>
      <c r="AC295" s="7">
        <v>0.0</v>
      </c>
      <c r="AD295" s="7"/>
      <c r="AE295" s="7">
        <f t="shared" si="8"/>
        <v>0</v>
      </c>
      <c r="AF295" s="10"/>
      <c r="AG295" s="10"/>
      <c r="AH295" s="10"/>
      <c r="AI295" s="10"/>
    </row>
    <row r="296" ht="30.0" customHeight="1">
      <c r="A296" s="7">
        <v>294.0</v>
      </c>
      <c r="B296" s="7">
        <v>4.705007E7</v>
      </c>
      <c r="C296" s="7">
        <v>24.0</v>
      </c>
      <c r="D296" s="7">
        <v>70.0</v>
      </c>
      <c r="E296" s="8" t="s">
        <v>554</v>
      </c>
      <c r="F296" s="9" t="s">
        <v>555</v>
      </c>
      <c r="G296" s="7" t="s">
        <v>27</v>
      </c>
      <c r="H296" s="7">
        <v>4.0</v>
      </c>
      <c r="I296" s="7">
        <v>2.0</v>
      </c>
      <c r="J296" s="7">
        <f t="shared" si="1"/>
        <v>4</v>
      </c>
      <c r="K296" s="7">
        <v>1.0</v>
      </c>
      <c r="L296" s="7"/>
      <c r="M296" s="7">
        <f t="shared" si="2"/>
        <v>1</v>
      </c>
      <c r="N296" s="7">
        <v>0.0</v>
      </c>
      <c r="O296" s="7"/>
      <c r="P296" s="7">
        <f t="shared" si="3"/>
        <v>0</v>
      </c>
      <c r="Q296" s="7">
        <v>3.0</v>
      </c>
      <c r="R296" s="7"/>
      <c r="S296" s="7">
        <f t="shared" si="4"/>
        <v>3</v>
      </c>
      <c r="T296" s="7">
        <v>0.0</v>
      </c>
      <c r="U296" s="7"/>
      <c r="V296" s="7">
        <f t="shared" si="5"/>
        <v>0</v>
      </c>
      <c r="W296" s="7">
        <v>0.0</v>
      </c>
      <c r="X296" s="7"/>
      <c r="Y296" s="7">
        <f t="shared" si="6"/>
        <v>0</v>
      </c>
      <c r="Z296" s="7">
        <v>0.0</v>
      </c>
      <c r="AA296" s="7"/>
      <c r="AB296" s="7">
        <f t="shared" si="7"/>
        <v>0</v>
      </c>
      <c r="AC296" s="7">
        <v>0.0</v>
      </c>
      <c r="AD296" s="7"/>
      <c r="AE296" s="7">
        <f t="shared" si="8"/>
        <v>0</v>
      </c>
      <c r="AF296" s="10"/>
      <c r="AG296" s="10"/>
      <c r="AH296" s="10"/>
      <c r="AI296" s="10"/>
    </row>
    <row r="297" ht="30.0" customHeight="1">
      <c r="A297" s="7">
        <v>295.0</v>
      </c>
      <c r="B297" s="7">
        <v>4.7050111E7</v>
      </c>
      <c r="C297" s="7">
        <v>24.0</v>
      </c>
      <c r="D297" s="7">
        <v>70.0</v>
      </c>
      <c r="E297" s="8" t="s">
        <v>556</v>
      </c>
      <c r="F297" s="9" t="s">
        <v>557</v>
      </c>
      <c r="G297" s="7" t="s">
        <v>27</v>
      </c>
      <c r="H297" s="7">
        <v>2.0</v>
      </c>
      <c r="I297" s="7">
        <v>1.0</v>
      </c>
      <c r="J297" s="7">
        <f t="shared" si="1"/>
        <v>1</v>
      </c>
      <c r="K297" s="7">
        <v>1.0</v>
      </c>
      <c r="L297" s="7"/>
      <c r="M297" s="7">
        <f t="shared" si="2"/>
        <v>1</v>
      </c>
      <c r="N297" s="7">
        <v>0.0</v>
      </c>
      <c r="O297" s="7"/>
      <c r="P297" s="7">
        <f t="shared" si="3"/>
        <v>0</v>
      </c>
      <c r="Q297" s="7">
        <v>0.0</v>
      </c>
      <c r="R297" s="7"/>
      <c r="S297" s="7">
        <f t="shared" si="4"/>
        <v>0</v>
      </c>
      <c r="T297" s="7">
        <v>0.0</v>
      </c>
      <c r="U297" s="7"/>
      <c r="V297" s="7">
        <f t="shared" si="5"/>
        <v>0</v>
      </c>
      <c r="W297" s="7">
        <v>0.0</v>
      </c>
      <c r="X297" s="7"/>
      <c r="Y297" s="7">
        <f t="shared" si="6"/>
        <v>0</v>
      </c>
      <c r="Z297" s="7">
        <v>0.0</v>
      </c>
      <c r="AA297" s="7"/>
      <c r="AB297" s="7">
        <f t="shared" si="7"/>
        <v>0</v>
      </c>
      <c r="AC297" s="7">
        <v>0.0</v>
      </c>
      <c r="AD297" s="7"/>
      <c r="AE297" s="7">
        <f t="shared" si="8"/>
        <v>0</v>
      </c>
      <c r="AF297" s="10"/>
      <c r="AG297" s="10"/>
      <c r="AH297" s="10"/>
      <c r="AI297" s="10"/>
    </row>
    <row r="298" ht="30.0" customHeight="1">
      <c r="A298" s="7">
        <v>296.0</v>
      </c>
      <c r="B298" s="7">
        <v>4.3900069E7</v>
      </c>
      <c r="C298" s="7">
        <v>24.0</v>
      </c>
      <c r="D298" s="7">
        <v>70.0</v>
      </c>
      <c r="E298" s="8" t="s">
        <v>558</v>
      </c>
      <c r="F298" s="9" t="s">
        <v>559</v>
      </c>
      <c r="G298" s="7" t="s">
        <v>27</v>
      </c>
      <c r="H298" s="7">
        <v>2.0</v>
      </c>
      <c r="I298" s="11">
        <v>0.0</v>
      </c>
      <c r="J298" s="7">
        <f t="shared" si="1"/>
        <v>1</v>
      </c>
      <c r="K298" s="7">
        <v>0.0</v>
      </c>
      <c r="L298" s="7"/>
      <c r="M298" s="7">
        <f t="shared" si="2"/>
        <v>0</v>
      </c>
      <c r="N298" s="7">
        <v>1.0</v>
      </c>
      <c r="O298" s="7"/>
      <c r="P298" s="7">
        <f t="shared" si="3"/>
        <v>1</v>
      </c>
      <c r="Q298" s="7">
        <v>0.0</v>
      </c>
      <c r="R298" s="7"/>
      <c r="S298" s="7">
        <f t="shared" si="4"/>
        <v>0</v>
      </c>
      <c r="T298" s="7">
        <v>0.0</v>
      </c>
      <c r="U298" s="7"/>
      <c r="V298" s="7">
        <f t="shared" si="5"/>
        <v>0</v>
      </c>
      <c r="W298" s="7">
        <v>0.0</v>
      </c>
      <c r="X298" s="7"/>
      <c r="Y298" s="7">
        <f t="shared" si="6"/>
        <v>0</v>
      </c>
      <c r="Z298" s="7">
        <v>0.0</v>
      </c>
      <c r="AA298" s="7"/>
      <c r="AB298" s="7">
        <f t="shared" si="7"/>
        <v>0</v>
      </c>
      <c r="AC298" s="7">
        <v>0.0</v>
      </c>
      <c r="AD298" s="7"/>
      <c r="AE298" s="7">
        <f t="shared" si="8"/>
        <v>0</v>
      </c>
      <c r="AF298" s="11">
        <v>0.0</v>
      </c>
      <c r="AG298" s="7">
        <v>2.0</v>
      </c>
      <c r="AH298" s="11">
        <v>0.0</v>
      </c>
      <c r="AI298" s="11">
        <v>0.0</v>
      </c>
    </row>
    <row r="299" ht="30.0" customHeight="1">
      <c r="A299" s="7">
        <v>297.0</v>
      </c>
      <c r="B299" s="7">
        <v>4.7050172E7</v>
      </c>
      <c r="C299" s="7">
        <v>24.0</v>
      </c>
      <c r="D299" s="7">
        <v>70.0</v>
      </c>
      <c r="E299" s="8" t="s">
        <v>560</v>
      </c>
      <c r="F299" s="9" t="s">
        <v>561</v>
      </c>
      <c r="G299" s="7" t="s">
        <v>27</v>
      </c>
      <c r="H299" s="7">
        <v>2.0</v>
      </c>
      <c r="I299" s="11">
        <v>0.0</v>
      </c>
      <c r="J299" s="7">
        <f t="shared" si="1"/>
        <v>2</v>
      </c>
      <c r="K299" s="7">
        <v>2.0</v>
      </c>
      <c r="L299" s="7"/>
      <c r="M299" s="7">
        <f t="shared" si="2"/>
        <v>2</v>
      </c>
      <c r="N299" s="7">
        <v>0.0</v>
      </c>
      <c r="O299" s="7"/>
      <c r="P299" s="7">
        <f t="shared" si="3"/>
        <v>0</v>
      </c>
      <c r="Q299" s="7">
        <v>0.0</v>
      </c>
      <c r="R299" s="7"/>
      <c r="S299" s="7">
        <f t="shared" si="4"/>
        <v>0</v>
      </c>
      <c r="T299" s="7">
        <v>0.0</v>
      </c>
      <c r="U299" s="7"/>
      <c r="V299" s="7">
        <f t="shared" si="5"/>
        <v>0</v>
      </c>
      <c r="W299" s="7">
        <v>0.0</v>
      </c>
      <c r="X299" s="7"/>
      <c r="Y299" s="7">
        <f t="shared" si="6"/>
        <v>0</v>
      </c>
      <c r="Z299" s="7">
        <v>0.0</v>
      </c>
      <c r="AA299" s="7"/>
      <c r="AB299" s="7">
        <f t="shared" si="7"/>
        <v>0</v>
      </c>
      <c r="AC299" s="7">
        <v>0.0</v>
      </c>
      <c r="AD299" s="7"/>
      <c r="AE299" s="7">
        <f t="shared" si="8"/>
        <v>0</v>
      </c>
      <c r="AF299" s="10"/>
      <c r="AG299" s="10"/>
      <c r="AH299" s="10"/>
      <c r="AI299" s="10"/>
    </row>
    <row r="300" ht="30.0" customHeight="1">
      <c r="A300" s="7">
        <v>298.0</v>
      </c>
      <c r="B300" s="7">
        <v>4.7050184E7</v>
      </c>
      <c r="C300" s="7">
        <v>24.0</v>
      </c>
      <c r="D300" s="7">
        <v>70.0</v>
      </c>
      <c r="E300" s="8" t="s">
        <v>562</v>
      </c>
      <c r="F300" s="9" t="s">
        <v>563</v>
      </c>
      <c r="G300" s="7" t="s">
        <v>27</v>
      </c>
      <c r="H300" s="7">
        <v>2.0</v>
      </c>
      <c r="I300" s="7">
        <v>1.0</v>
      </c>
      <c r="J300" s="7">
        <f t="shared" si="1"/>
        <v>2</v>
      </c>
      <c r="K300" s="7">
        <v>2.0</v>
      </c>
      <c r="L300" s="7"/>
      <c r="M300" s="7">
        <f t="shared" si="2"/>
        <v>2</v>
      </c>
      <c r="N300" s="7">
        <v>0.0</v>
      </c>
      <c r="O300" s="7"/>
      <c r="P300" s="7">
        <f t="shared" si="3"/>
        <v>0</v>
      </c>
      <c r="Q300" s="7">
        <v>0.0</v>
      </c>
      <c r="R300" s="7"/>
      <c r="S300" s="7">
        <f t="shared" si="4"/>
        <v>0</v>
      </c>
      <c r="T300" s="7">
        <v>0.0</v>
      </c>
      <c r="U300" s="7"/>
      <c r="V300" s="7">
        <f t="shared" si="5"/>
        <v>0</v>
      </c>
      <c r="W300" s="7">
        <v>0.0</v>
      </c>
      <c r="X300" s="7"/>
      <c r="Y300" s="7">
        <f t="shared" si="6"/>
        <v>0</v>
      </c>
      <c r="Z300" s="7">
        <v>0.0</v>
      </c>
      <c r="AA300" s="7"/>
      <c r="AB300" s="7">
        <f t="shared" si="7"/>
        <v>0</v>
      </c>
      <c r="AC300" s="7">
        <v>0.0</v>
      </c>
      <c r="AD300" s="7"/>
      <c r="AE300" s="7">
        <f t="shared" si="8"/>
        <v>0</v>
      </c>
      <c r="AF300" s="10"/>
      <c r="AG300" s="10"/>
      <c r="AH300" s="10"/>
      <c r="AI300" s="10"/>
    </row>
    <row r="301" ht="30.0" customHeight="1">
      <c r="A301" s="7">
        <v>299.0</v>
      </c>
      <c r="B301" s="7">
        <v>4.7050287E7</v>
      </c>
      <c r="C301" s="7">
        <v>24.0</v>
      </c>
      <c r="D301" s="7">
        <v>70.0</v>
      </c>
      <c r="E301" s="8" t="s">
        <v>564</v>
      </c>
      <c r="F301" s="9" t="s">
        <v>565</v>
      </c>
      <c r="G301" s="7" t="s">
        <v>27</v>
      </c>
      <c r="H301" s="7">
        <v>2.0</v>
      </c>
      <c r="I301" s="11">
        <v>0.0</v>
      </c>
      <c r="J301" s="7">
        <f t="shared" si="1"/>
        <v>2</v>
      </c>
      <c r="K301" s="7">
        <v>2.0</v>
      </c>
      <c r="L301" s="7"/>
      <c r="M301" s="7">
        <f t="shared" si="2"/>
        <v>2</v>
      </c>
      <c r="N301" s="7">
        <v>0.0</v>
      </c>
      <c r="O301" s="7"/>
      <c r="P301" s="7">
        <f t="shared" si="3"/>
        <v>0</v>
      </c>
      <c r="Q301" s="7">
        <v>0.0</v>
      </c>
      <c r="R301" s="7"/>
      <c r="S301" s="7">
        <f t="shared" si="4"/>
        <v>0</v>
      </c>
      <c r="T301" s="7">
        <v>0.0</v>
      </c>
      <c r="U301" s="7"/>
      <c r="V301" s="7">
        <f t="shared" si="5"/>
        <v>0</v>
      </c>
      <c r="W301" s="7">
        <v>0.0</v>
      </c>
      <c r="X301" s="7"/>
      <c r="Y301" s="7">
        <f t="shared" si="6"/>
        <v>0</v>
      </c>
      <c r="Z301" s="7">
        <v>0.0</v>
      </c>
      <c r="AA301" s="7"/>
      <c r="AB301" s="7">
        <f t="shared" si="7"/>
        <v>0</v>
      </c>
      <c r="AC301" s="7">
        <v>0.0</v>
      </c>
      <c r="AD301" s="7"/>
      <c r="AE301" s="7">
        <f t="shared" si="8"/>
        <v>0</v>
      </c>
      <c r="AF301" s="10"/>
      <c r="AG301" s="10"/>
      <c r="AH301" s="10"/>
      <c r="AI301" s="10"/>
    </row>
    <row r="302" ht="30.0" customHeight="1">
      <c r="A302" s="7">
        <v>300.0</v>
      </c>
      <c r="B302" s="7">
        <v>4.7050275E7</v>
      </c>
      <c r="C302" s="7">
        <v>24.0</v>
      </c>
      <c r="D302" s="7">
        <v>70.0</v>
      </c>
      <c r="E302" s="8" t="s">
        <v>566</v>
      </c>
      <c r="F302" s="9" t="s">
        <v>567</v>
      </c>
      <c r="G302" s="7" t="s">
        <v>27</v>
      </c>
      <c r="H302" s="7">
        <v>2.0</v>
      </c>
      <c r="I302" s="11">
        <v>0.0</v>
      </c>
      <c r="J302" s="7">
        <f t="shared" si="1"/>
        <v>1</v>
      </c>
      <c r="K302" s="7">
        <v>1.0</v>
      </c>
      <c r="L302" s="7"/>
      <c r="M302" s="7">
        <f t="shared" si="2"/>
        <v>1</v>
      </c>
      <c r="N302" s="7">
        <v>0.0</v>
      </c>
      <c r="O302" s="7"/>
      <c r="P302" s="7">
        <f t="shared" si="3"/>
        <v>0</v>
      </c>
      <c r="Q302" s="7">
        <v>0.0</v>
      </c>
      <c r="R302" s="7"/>
      <c r="S302" s="7">
        <f t="shared" si="4"/>
        <v>0</v>
      </c>
      <c r="T302" s="7">
        <v>0.0</v>
      </c>
      <c r="U302" s="7"/>
      <c r="V302" s="7">
        <f t="shared" si="5"/>
        <v>0</v>
      </c>
      <c r="W302" s="7">
        <v>0.0</v>
      </c>
      <c r="X302" s="7"/>
      <c r="Y302" s="7">
        <f t="shared" si="6"/>
        <v>0</v>
      </c>
      <c r="Z302" s="7">
        <v>0.0</v>
      </c>
      <c r="AA302" s="7"/>
      <c r="AB302" s="7">
        <f t="shared" si="7"/>
        <v>0</v>
      </c>
      <c r="AC302" s="7">
        <v>0.0</v>
      </c>
      <c r="AD302" s="7"/>
      <c r="AE302" s="7">
        <f t="shared" si="8"/>
        <v>0</v>
      </c>
      <c r="AF302" s="7">
        <v>1.0</v>
      </c>
      <c r="AG302" s="7">
        <v>1.0</v>
      </c>
      <c r="AH302" s="11">
        <v>0.0</v>
      </c>
      <c r="AI302" s="11">
        <v>0.0</v>
      </c>
    </row>
    <row r="303" ht="30.0" customHeight="1">
      <c r="A303" s="7">
        <v>301.0</v>
      </c>
      <c r="B303" s="7">
        <v>4.7420546E7</v>
      </c>
      <c r="C303" s="7">
        <v>24.0</v>
      </c>
      <c r="D303" s="7">
        <v>70.0</v>
      </c>
      <c r="E303" s="8" t="s">
        <v>568</v>
      </c>
      <c r="F303" s="9" t="s">
        <v>569</v>
      </c>
      <c r="G303" s="7" t="s">
        <v>27</v>
      </c>
      <c r="H303" s="7">
        <v>3.0</v>
      </c>
      <c r="I303" s="14">
        <v>0.0</v>
      </c>
      <c r="J303" s="7">
        <f t="shared" si="1"/>
        <v>0</v>
      </c>
      <c r="K303" s="7">
        <v>0.0</v>
      </c>
      <c r="L303" s="7"/>
      <c r="M303" s="7">
        <f t="shared" si="2"/>
        <v>0</v>
      </c>
      <c r="N303" s="7">
        <v>0.0</v>
      </c>
      <c r="O303" s="7"/>
      <c r="P303" s="7">
        <f t="shared" si="3"/>
        <v>0</v>
      </c>
      <c r="Q303" s="7">
        <v>0.0</v>
      </c>
      <c r="R303" s="7"/>
      <c r="S303" s="7">
        <f t="shared" si="4"/>
        <v>0</v>
      </c>
      <c r="T303" s="7">
        <v>0.0</v>
      </c>
      <c r="U303" s="7"/>
      <c r="V303" s="7">
        <f t="shared" si="5"/>
        <v>0</v>
      </c>
      <c r="W303" s="7">
        <v>0.0</v>
      </c>
      <c r="X303" s="7"/>
      <c r="Y303" s="7">
        <f t="shared" si="6"/>
        <v>0</v>
      </c>
      <c r="Z303" s="7">
        <v>0.0</v>
      </c>
      <c r="AA303" s="7"/>
      <c r="AB303" s="7">
        <f t="shared" si="7"/>
        <v>0</v>
      </c>
      <c r="AC303" s="7">
        <v>0.0</v>
      </c>
      <c r="AD303" s="7"/>
      <c r="AE303" s="7">
        <f t="shared" si="8"/>
        <v>0</v>
      </c>
      <c r="AF303" s="14">
        <v>0.0</v>
      </c>
      <c r="AG303" s="15">
        <v>2.0</v>
      </c>
      <c r="AH303" s="14">
        <v>0.0</v>
      </c>
      <c r="AI303" s="14">
        <v>0.0</v>
      </c>
    </row>
    <row r="304" ht="30.0" customHeight="1">
      <c r="A304" s="7">
        <v>302.0</v>
      </c>
      <c r="B304" s="7">
        <v>4.7420558E7</v>
      </c>
      <c r="C304" s="7">
        <v>24.0</v>
      </c>
      <c r="D304" s="7">
        <v>70.0</v>
      </c>
      <c r="E304" s="8" t="s">
        <v>570</v>
      </c>
      <c r="F304" s="9" t="s">
        <v>571</v>
      </c>
      <c r="G304" s="7" t="s">
        <v>27</v>
      </c>
      <c r="H304" s="7">
        <v>3.0</v>
      </c>
      <c r="I304" s="11">
        <v>0.0</v>
      </c>
      <c r="J304" s="7">
        <f t="shared" si="1"/>
        <v>0</v>
      </c>
      <c r="K304" s="7">
        <v>0.0</v>
      </c>
      <c r="L304" s="7"/>
      <c r="M304" s="7">
        <f t="shared" si="2"/>
        <v>0</v>
      </c>
      <c r="N304" s="7">
        <v>0.0</v>
      </c>
      <c r="O304" s="7"/>
      <c r="P304" s="7">
        <f t="shared" si="3"/>
        <v>0</v>
      </c>
      <c r="Q304" s="7">
        <v>0.0</v>
      </c>
      <c r="R304" s="7"/>
      <c r="S304" s="7">
        <f t="shared" si="4"/>
        <v>0</v>
      </c>
      <c r="T304" s="7">
        <v>0.0</v>
      </c>
      <c r="U304" s="7"/>
      <c r="V304" s="7">
        <f t="shared" si="5"/>
        <v>0</v>
      </c>
      <c r="W304" s="7">
        <v>0.0</v>
      </c>
      <c r="X304" s="7"/>
      <c r="Y304" s="7">
        <f t="shared" si="6"/>
        <v>0</v>
      </c>
      <c r="Z304" s="7">
        <v>0.0</v>
      </c>
      <c r="AA304" s="7"/>
      <c r="AB304" s="7">
        <f t="shared" si="7"/>
        <v>0</v>
      </c>
      <c r="AC304" s="7">
        <v>0.0</v>
      </c>
      <c r="AD304" s="7"/>
      <c r="AE304" s="7">
        <f t="shared" si="8"/>
        <v>0</v>
      </c>
      <c r="AF304" s="11">
        <v>0.0</v>
      </c>
      <c r="AG304" s="7">
        <v>2.0</v>
      </c>
      <c r="AH304" s="7">
        <v>2.0</v>
      </c>
      <c r="AI304" s="11">
        <v>0.0</v>
      </c>
    </row>
    <row r="305" ht="30.0" customHeight="1">
      <c r="A305" s="7">
        <v>303.0</v>
      </c>
      <c r="B305" s="7">
        <v>4.2509014E7</v>
      </c>
      <c r="C305" s="7">
        <v>24.0</v>
      </c>
      <c r="D305" s="7">
        <v>70.0</v>
      </c>
      <c r="E305" s="8" t="s">
        <v>572</v>
      </c>
      <c r="F305" s="9" t="s">
        <v>573</v>
      </c>
      <c r="G305" s="7" t="s">
        <v>27</v>
      </c>
      <c r="H305" s="7">
        <v>10.0</v>
      </c>
      <c r="I305" s="7">
        <v>13.0</v>
      </c>
      <c r="J305" s="7">
        <f t="shared" si="1"/>
        <v>4</v>
      </c>
      <c r="K305" s="7">
        <v>0.0</v>
      </c>
      <c r="L305" s="7"/>
      <c r="M305" s="7">
        <f t="shared" si="2"/>
        <v>0</v>
      </c>
      <c r="N305" s="7">
        <v>4.0</v>
      </c>
      <c r="O305" s="7"/>
      <c r="P305" s="7">
        <f t="shared" si="3"/>
        <v>4</v>
      </c>
      <c r="Q305" s="7">
        <v>0.0</v>
      </c>
      <c r="R305" s="7"/>
      <c r="S305" s="7">
        <f t="shared" si="4"/>
        <v>0</v>
      </c>
      <c r="T305" s="7">
        <v>0.0</v>
      </c>
      <c r="U305" s="7"/>
      <c r="V305" s="7">
        <f t="shared" si="5"/>
        <v>0</v>
      </c>
      <c r="W305" s="7">
        <v>0.0</v>
      </c>
      <c r="X305" s="7"/>
      <c r="Y305" s="7">
        <f t="shared" si="6"/>
        <v>0</v>
      </c>
      <c r="Z305" s="7">
        <v>0.0</v>
      </c>
      <c r="AA305" s="7"/>
      <c r="AB305" s="7">
        <f t="shared" si="7"/>
        <v>0</v>
      </c>
      <c r="AC305" s="7">
        <v>0.0</v>
      </c>
      <c r="AD305" s="7"/>
      <c r="AE305" s="7">
        <f t="shared" si="8"/>
        <v>0</v>
      </c>
      <c r="AF305" s="10"/>
      <c r="AG305" s="10"/>
      <c r="AH305" s="10"/>
      <c r="AI305" s="10"/>
    </row>
    <row r="306" ht="30.0" customHeight="1">
      <c r="A306" s="7">
        <v>304.0</v>
      </c>
      <c r="B306" s="7">
        <v>4.2502019E7</v>
      </c>
      <c r="C306" s="7">
        <v>24.0</v>
      </c>
      <c r="D306" s="7">
        <v>70.0</v>
      </c>
      <c r="E306" s="8" t="s">
        <v>574</v>
      </c>
      <c r="F306" s="9" t="s">
        <v>574</v>
      </c>
      <c r="G306" s="7" t="s">
        <v>27</v>
      </c>
      <c r="H306" s="7">
        <v>5.0</v>
      </c>
      <c r="I306" s="7">
        <v>11.0</v>
      </c>
      <c r="J306" s="7">
        <f t="shared" si="1"/>
        <v>5</v>
      </c>
      <c r="K306" s="7">
        <v>1.0</v>
      </c>
      <c r="L306" s="7"/>
      <c r="M306" s="7">
        <f t="shared" si="2"/>
        <v>1</v>
      </c>
      <c r="N306" s="7">
        <v>4.0</v>
      </c>
      <c r="O306" s="7"/>
      <c r="P306" s="7">
        <f t="shared" si="3"/>
        <v>4</v>
      </c>
      <c r="Q306" s="7">
        <v>0.0</v>
      </c>
      <c r="R306" s="7"/>
      <c r="S306" s="7">
        <f t="shared" si="4"/>
        <v>0</v>
      </c>
      <c r="T306" s="7">
        <v>0.0</v>
      </c>
      <c r="U306" s="7"/>
      <c r="V306" s="7">
        <f t="shared" si="5"/>
        <v>0</v>
      </c>
      <c r="W306" s="7">
        <v>0.0</v>
      </c>
      <c r="X306" s="7"/>
      <c r="Y306" s="7">
        <f t="shared" si="6"/>
        <v>0</v>
      </c>
      <c r="Z306" s="7">
        <v>0.0</v>
      </c>
      <c r="AA306" s="7"/>
      <c r="AB306" s="7">
        <f t="shared" si="7"/>
        <v>0</v>
      </c>
      <c r="AC306" s="7">
        <v>0.0</v>
      </c>
      <c r="AD306" s="7"/>
      <c r="AE306" s="7">
        <f t="shared" si="8"/>
        <v>0</v>
      </c>
      <c r="AF306" s="10"/>
      <c r="AG306" s="10"/>
      <c r="AH306" s="10"/>
      <c r="AI306" s="10"/>
    </row>
    <row r="307" ht="30.0" customHeight="1">
      <c r="A307" s="7">
        <v>305.0</v>
      </c>
      <c r="B307" s="7">
        <v>4.2509026E7</v>
      </c>
      <c r="C307" s="7">
        <v>24.0</v>
      </c>
      <c r="D307" s="7">
        <v>70.0</v>
      </c>
      <c r="E307" s="8" t="s">
        <v>575</v>
      </c>
      <c r="F307" s="9" t="s">
        <v>576</v>
      </c>
      <c r="G307" s="7" t="s">
        <v>27</v>
      </c>
      <c r="H307" s="7">
        <v>2.0</v>
      </c>
      <c r="I307" s="7">
        <v>3.0</v>
      </c>
      <c r="J307" s="7">
        <f t="shared" si="1"/>
        <v>0</v>
      </c>
      <c r="K307" s="7">
        <v>0.0</v>
      </c>
      <c r="L307" s="7"/>
      <c r="M307" s="7">
        <f t="shared" si="2"/>
        <v>0</v>
      </c>
      <c r="N307" s="7">
        <v>0.0</v>
      </c>
      <c r="O307" s="7"/>
      <c r="P307" s="7">
        <f t="shared" si="3"/>
        <v>0</v>
      </c>
      <c r="Q307" s="7">
        <v>0.0</v>
      </c>
      <c r="R307" s="7"/>
      <c r="S307" s="7">
        <f t="shared" si="4"/>
        <v>0</v>
      </c>
      <c r="T307" s="7">
        <v>0.0</v>
      </c>
      <c r="U307" s="7"/>
      <c r="V307" s="7">
        <f t="shared" si="5"/>
        <v>0</v>
      </c>
      <c r="W307" s="7">
        <v>0.0</v>
      </c>
      <c r="X307" s="7"/>
      <c r="Y307" s="7">
        <f t="shared" si="6"/>
        <v>0</v>
      </c>
      <c r="Z307" s="7">
        <v>0.0</v>
      </c>
      <c r="AA307" s="7"/>
      <c r="AB307" s="7">
        <f t="shared" si="7"/>
        <v>0</v>
      </c>
      <c r="AC307" s="7">
        <v>0.0</v>
      </c>
      <c r="AD307" s="7"/>
      <c r="AE307" s="7">
        <f t="shared" si="8"/>
        <v>0</v>
      </c>
      <c r="AF307" s="10"/>
      <c r="AG307" s="10"/>
      <c r="AH307" s="10"/>
      <c r="AI307" s="10"/>
    </row>
    <row r="308" ht="30.0" customHeight="1">
      <c r="A308" s="7">
        <v>306.0</v>
      </c>
      <c r="B308" s="7">
        <v>4.2500035E7</v>
      </c>
      <c r="C308" s="7">
        <v>24.0</v>
      </c>
      <c r="D308" s="7">
        <v>70.0</v>
      </c>
      <c r="E308" s="8" t="s">
        <v>577</v>
      </c>
      <c r="F308" s="9" t="s">
        <v>578</v>
      </c>
      <c r="G308" s="7" t="s">
        <v>27</v>
      </c>
      <c r="H308" s="7">
        <v>2.0</v>
      </c>
      <c r="I308" s="7">
        <v>1.0</v>
      </c>
      <c r="J308" s="7">
        <f t="shared" si="1"/>
        <v>0</v>
      </c>
      <c r="K308" s="7">
        <v>0.0</v>
      </c>
      <c r="L308" s="7"/>
      <c r="M308" s="7">
        <f t="shared" si="2"/>
        <v>0</v>
      </c>
      <c r="N308" s="7">
        <v>0.0</v>
      </c>
      <c r="O308" s="7"/>
      <c r="P308" s="7">
        <f t="shared" si="3"/>
        <v>0</v>
      </c>
      <c r="Q308" s="7">
        <v>0.0</v>
      </c>
      <c r="R308" s="7"/>
      <c r="S308" s="7">
        <f t="shared" si="4"/>
        <v>0</v>
      </c>
      <c r="T308" s="7">
        <v>0.0</v>
      </c>
      <c r="U308" s="7"/>
      <c r="V308" s="7">
        <f t="shared" si="5"/>
        <v>0</v>
      </c>
      <c r="W308" s="7">
        <v>0.0</v>
      </c>
      <c r="X308" s="7"/>
      <c r="Y308" s="7">
        <f t="shared" si="6"/>
        <v>0</v>
      </c>
      <c r="Z308" s="7">
        <v>0.0</v>
      </c>
      <c r="AA308" s="7"/>
      <c r="AB308" s="7">
        <f t="shared" si="7"/>
        <v>0</v>
      </c>
      <c r="AC308" s="7">
        <v>0.0</v>
      </c>
      <c r="AD308" s="7"/>
      <c r="AE308" s="7">
        <f t="shared" si="8"/>
        <v>0</v>
      </c>
      <c r="AF308" s="10"/>
      <c r="AG308" s="10"/>
      <c r="AH308" s="10"/>
      <c r="AI308" s="10"/>
    </row>
    <row r="309" ht="30.0" customHeight="1">
      <c r="A309" s="7">
        <v>307.0</v>
      </c>
      <c r="B309" s="7">
        <v>4.7050093E7</v>
      </c>
      <c r="C309" s="7">
        <v>24.0</v>
      </c>
      <c r="D309" s="7">
        <v>70.0</v>
      </c>
      <c r="E309" s="8" t="s">
        <v>579</v>
      </c>
      <c r="F309" s="9" t="s">
        <v>579</v>
      </c>
      <c r="G309" s="7" t="s">
        <v>27</v>
      </c>
      <c r="H309" s="7">
        <v>8.0</v>
      </c>
      <c r="I309" s="7">
        <v>6.0</v>
      </c>
      <c r="J309" s="7">
        <f t="shared" si="1"/>
        <v>2</v>
      </c>
      <c r="K309" s="7">
        <v>2.0</v>
      </c>
      <c r="L309" s="7"/>
      <c r="M309" s="7">
        <f t="shared" si="2"/>
        <v>2</v>
      </c>
      <c r="N309" s="7">
        <v>0.0</v>
      </c>
      <c r="O309" s="7"/>
      <c r="P309" s="7">
        <f t="shared" si="3"/>
        <v>0</v>
      </c>
      <c r="Q309" s="7">
        <v>0.0</v>
      </c>
      <c r="R309" s="7"/>
      <c r="S309" s="7">
        <f t="shared" si="4"/>
        <v>0</v>
      </c>
      <c r="T309" s="7">
        <v>0.0</v>
      </c>
      <c r="U309" s="7"/>
      <c r="V309" s="7">
        <f t="shared" si="5"/>
        <v>0</v>
      </c>
      <c r="W309" s="7">
        <v>0.0</v>
      </c>
      <c r="X309" s="7"/>
      <c r="Y309" s="7">
        <f t="shared" si="6"/>
        <v>0</v>
      </c>
      <c r="Z309" s="7">
        <v>0.0</v>
      </c>
      <c r="AA309" s="7"/>
      <c r="AB309" s="7">
        <f t="shared" si="7"/>
        <v>0</v>
      </c>
      <c r="AC309" s="7">
        <v>0.0</v>
      </c>
      <c r="AD309" s="7"/>
      <c r="AE309" s="7">
        <f t="shared" si="8"/>
        <v>0</v>
      </c>
      <c r="AF309" s="10"/>
      <c r="AG309" s="10"/>
      <c r="AH309" s="10"/>
      <c r="AI309" s="10"/>
    </row>
    <row r="310" ht="30.0" customHeight="1">
      <c r="A310" s="7">
        <v>308.0</v>
      </c>
      <c r="B310" s="7">
        <v>4.7050779E7</v>
      </c>
      <c r="C310" s="7">
        <v>24.0</v>
      </c>
      <c r="D310" s="7">
        <v>70.0</v>
      </c>
      <c r="E310" s="8" t="s">
        <v>580</v>
      </c>
      <c r="F310" s="9" t="s">
        <v>580</v>
      </c>
      <c r="G310" s="7" t="s">
        <v>27</v>
      </c>
      <c r="H310" s="7">
        <v>5.0</v>
      </c>
      <c r="I310" s="7">
        <v>5.0</v>
      </c>
      <c r="J310" s="7">
        <f t="shared" si="1"/>
        <v>2</v>
      </c>
      <c r="K310" s="7">
        <v>2.0</v>
      </c>
      <c r="L310" s="7"/>
      <c r="M310" s="7">
        <f t="shared" si="2"/>
        <v>2</v>
      </c>
      <c r="N310" s="7">
        <v>0.0</v>
      </c>
      <c r="O310" s="7"/>
      <c r="P310" s="7">
        <f t="shared" si="3"/>
        <v>0</v>
      </c>
      <c r="Q310" s="7">
        <v>0.0</v>
      </c>
      <c r="R310" s="7"/>
      <c r="S310" s="7">
        <f t="shared" si="4"/>
        <v>0</v>
      </c>
      <c r="T310" s="7">
        <v>0.0</v>
      </c>
      <c r="U310" s="7"/>
      <c r="V310" s="7">
        <f t="shared" si="5"/>
        <v>0</v>
      </c>
      <c r="W310" s="7">
        <v>0.0</v>
      </c>
      <c r="X310" s="7"/>
      <c r="Y310" s="7">
        <f t="shared" si="6"/>
        <v>0</v>
      </c>
      <c r="Z310" s="7">
        <v>0.0</v>
      </c>
      <c r="AA310" s="7"/>
      <c r="AB310" s="7">
        <f t="shared" si="7"/>
        <v>0</v>
      </c>
      <c r="AC310" s="7">
        <v>0.0</v>
      </c>
      <c r="AD310" s="7"/>
      <c r="AE310" s="7">
        <f t="shared" si="8"/>
        <v>0</v>
      </c>
      <c r="AF310" s="10"/>
      <c r="AG310" s="10"/>
      <c r="AH310" s="10"/>
      <c r="AI310" s="10"/>
    </row>
    <row r="311" ht="30.0" customHeight="1">
      <c r="A311" s="7">
        <v>309.0</v>
      </c>
      <c r="B311" s="7">
        <v>4.7050901E7</v>
      </c>
      <c r="C311" s="7">
        <v>24.0</v>
      </c>
      <c r="D311" s="7">
        <v>70.0</v>
      </c>
      <c r="E311" s="8" t="s">
        <v>581</v>
      </c>
      <c r="F311" s="9" t="s">
        <v>582</v>
      </c>
      <c r="G311" s="7" t="s">
        <v>27</v>
      </c>
      <c r="H311" s="7">
        <v>6.0</v>
      </c>
      <c r="I311" s="7">
        <v>3.0</v>
      </c>
      <c r="J311" s="7">
        <f t="shared" si="1"/>
        <v>6</v>
      </c>
      <c r="K311" s="7">
        <v>0.0</v>
      </c>
      <c r="L311" s="7"/>
      <c r="M311" s="7">
        <f t="shared" si="2"/>
        <v>0</v>
      </c>
      <c r="N311" s="7">
        <v>0.0</v>
      </c>
      <c r="O311" s="7"/>
      <c r="P311" s="7">
        <f t="shared" si="3"/>
        <v>0</v>
      </c>
      <c r="Q311" s="7">
        <v>6.0</v>
      </c>
      <c r="R311" s="7"/>
      <c r="S311" s="7">
        <f t="shared" si="4"/>
        <v>6</v>
      </c>
      <c r="T311" s="7">
        <v>0.0</v>
      </c>
      <c r="U311" s="7"/>
      <c r="V311" s="7">
        <f t="shared" si="5"/>
        <v>0</v>
      </c>
      <c r="W311" s="7">
        <v>0.0</v>
      </c>
      <c r="X311" s="7"/>
      <c r="Y311" s="7">
        <f t="shared" si="6"/>
        <v>0</v>
      </c>
      <c r="Z311" s="7">
        <v>0.0</v>
      </c>
      <c r="AA311" s="7"/>
      <c r="AB311" s="7">
        <f t="shared" si="7"/>
        <v>0</v>
      </c>
      <c r="AC311" s="7">
        <v>0.0</v>
      </c>
      <c r="AD311" s="7"/>
      <c r="AE311" s="7">
        <f t="shared" si="8"/>
        <v>0</v>
      </c>
      <c r="AF311" s="10"/>
      <c r="AG311" s="10"/>
      <c r="AH311" s="10"/>
      <c r="AI311" s="10"/>
    </row>
    <row r="312" ht="30.0" customHeight="1">
      <c r="A312" s="7">
        <v>310.0</v>
      </c>
      <c r="B312" s="7">
        <v>4.7020052E7</v>
      </c>
      <c r="C312" s="7">
        <v>24.0</v>
      </c>
      <c r="D312" s="7">
        <v>70.0</v>
      </c>
      <c r="E312" s="8" t="s">
        <v>583</v>
      </c>
      <c r="F312" s="9" t="s">
        <v>584</v>
      </c>
      <c r="G312" s="7" t="s">
        <v>27</v>
      </c>
      <c r="H312" s="7">
        <v>10.0</v>
      </c>
      <c r="I312" s="11">
        <v>0.0</v>
      </c>
      <c r="J312" s="7">
        <f t="shared" si="1"/>
        <v>10</v>
      </c>
      <c r="K312" s="7">
        <v>0.0</v>
      </c>
      <c r="L312" s="7"/>
      <c r="M312" s="7">
        <f t="shared" si="2"/>
        <v>0</v>
      </c>
      <c r="N312" s="7">
        <v>0.0</v>
      </c>
      <c r="O312" s="7"/>
      <c r="P312" s="7">
        <f t="shared" si="3"/>
        <v>0</v>
      </c>
      <c r="Q312" s="7">
        <v>10.0</v>
      </c>
      <c r="R312" s="7"/>
      <c r="S312" s="7">
        <f t="shared" si="4"/>
        <v>10</v>
      </c>
      <c r="T312" s="7">
        <v>0.0</v>
      </c>
      <c r="U312" s="7"/>
      <c r="V312" s="7">
        <f t="shared" si="5"/>
        <v>0</v>
      </c>
      <c r="W312" s="7">
        <v>0.0</v>
      </c>
      <c r="X312" s="7"/>
      <c r="Y312" s="7">
        <f t="shared" si="6"/>
        <v>0</v>
      </c>
      <c r="Z312" s="7">
        <v>0.0</v>
      </c>
      <c r="AA312" s="7"/>
      <c r="AB312" s="7">
        <f t="shared" si="7"/>
        <v>0</v>
      </c>
      <c r="AC312" s="7">
        <v>0.0</v>
      </c>
      <c r="AD312" s="7"/>
      <c r="AE312" s="7">
        <f t="shared" si="8"/>
        <v>0</v>
      </c>
      <c r="AF312" s="10"/>
      <c r="AG312" s="10"/>
      <c r="AH312" s="10"/>
      <c r="AI312" s="10"/>
    </row>
    <row r="313" ht="30.0" customHeight="1">
      <c r="A313" s="7">
        <v>311.0</v>
      </c>
      <c r="B313" s="7">
        <v>4.7050822E7</v>
      </c>
      <c r="C313" s="7">
        <v>24.0</v>
      </c>
      <c r="D313" s="7">
        <v>70.0</v>
      </c>
      <c r="E313" s="8" t="s">
        <v>585</v>
      </c>
      <c r="F313" s="9" t="s">
        <v>586</v>
      </c>
      <c r="G313" s="7" t="s">
        <v>27</v>
      </c>
      <c r="H313" s="7">
        <v>10.0</v>
      </c>
      <c r="I313" s="11">
        <v>0.0</v>
      </c>
      <c r="J313" s="7">
        <f t="shared" si="1"/>
        <v>5</v>
      </c>
      <c r="K313" s="7">
        <v>0.0</v>
      </c>
      <c r="L313" s="7"/>
      <c r="M313" s="7">
        <f t="shared" si="2"/>
        <v>0</v>
      </c>
      <c r="N313" s="7">
        <v>0.0</v>
      </c>
      <c r="O313" s="7"/>
      <c r="P313" s="7">
        <f t="shared" si="3"/>
        <v>0</v>
      </c>
      <c r="Q313" s="7">
        <v>5.0</v>
      </c>
      <c r="R313" s="7"/>
      <c r="S313" s="7">
        <f t="shared" si="4"/>
        <v>5</v>
      </c>
      <c r="T313" s="7">
        <v>0.0</v>
      </c>
      <c r="U313" s="7"/>
      <c r="V313" s="7">
        <f t="shared" si="5"/>
        <v>0</v>
      </c>
      <c r="W313" s="7">
        <v>0.0</v>
      </c>
      <c r="X313" s="7"/>
      <c r="Y313" s="7">
        <f t="shared" si="6"/>
        <v>0</v>
      </c>
      <c r="Z313" s="7">
        <v>0.0</v>
      </c>
      <c r="AA313" s="7"/>
      <c r="AB313" s="7">
        <f t="shared" si="7"/>
        <v>0</v>
      </c>
      <c r="AC313" s="7">
        <v>0.0</v>
      </c>
      <c r="AD313" s="7"/>
      <c r="AE313" s="7">
        <f t="shared" si="8"/>
        <v>0</v>
      </c>
      <c r="AF313" s="10"/>
      <c r="AG313" s="10"/>
      <c r="AH313" s="10"/>
      <c r="AI313" s="10"/>
    </row>
    <row r="314" ht="30.0" customHeight="1">
      <c r="A314" s="7">
        <v>312.0</v>
      </c>
      <c r="B314" s="7">
        <v>4.705081E7</v>
      </c>
      <c r="C314" s="7">
        <v>24.0</v>
      </c>
      <c r="D314" s="7">
        <v>70.0</v>
      </c>
      <c r="E314" s="8" t="s">
        <v>587</v>
      </c>
      <c r="F314" s="9" t="s">
        <v>588</v>
      </c>
      <c r="G314" s="7" t="s">
        <v>27</v>
      </c>
      <c r="H314" s="7">
        <v>20.0</v>
      </c>
      <c r="I314" s="7">
        <v>1.0</v>
      </c>
      <c r="J314" s="7">
        <f t="shared" si="1"/>
        <v>15</v>
      </c>
      <c r="K314" s="7">
        <v>0.0</v>
      </c>
      <c r="L314" s="7"/>
      <c r="M314" s="7">
        <f t="shared" si="2"/>
        <v>0</v>
      </c>
      <c r="N314" s="7">
        <v>0.0</v>
      </c>
      <c r="O314" s="7"/>
      <c r="P314" s="7">
        <f t="shared" si="3"/>
        <v>0</v>
      </c>
      <c r="Q314" s="7">
        <v>15.0</v>
      </c>
      <c r="R314" s="7"/>
      <c r="S314" s="7">
        <f t="shared" si="4"/>
        <v>15</v>
      </c>
      <c r="T314" s="7">
        <v>0.0</v>
      </c>
      <c r="U314" s="7"/>
      <c r="V314" s="7">
        <f t="shared" si="5"/>
        <v>0</v>
      </c>
      <c r="W314" s="7">
        <v>0.0</v>
      </c>
      <c r="X314" s="7"/>
      <c r="Y314" s="7">
        <f t="shared" si="6"/>
        <v>0</v>
      </c>
      <c r="Z314" s="7">
        <v>0.0</v>
      </c>
      <c r="AA314" s="7"/>
      <c r="AB314" s="7">
        <f t="shared" si="7"/>
        <v>0</v>
      </c>
      <c r="AC314" s="7">
        <v>0.0</v>
      </c>
      <c r="AD314" s="7"/>
      <c r="AE314" s="7">
        <f t="shared" si="8"/>
        <v>0</v>
      </c>
      <c r="AF314" s="10"/>
      <c r="AG314" s="10"/>
      <c r="AH314" s="10"/>
      <c r="AI314" s="10"/>
    </row>
    <row r="315" ht="30.0" customHeight="1">
      <c r="A315" s="7">
        <v>313.0</v>
      </c>
      <c r="B315" s="7">
        <v>4.7050603E7</v>
      </c>
      <c r="C315" s="7">
        <v>24.0</v>
      </c>
      <c r="D315" s="7">
        <v>70.0</v>
      </c>
      <c r="E315" s="8" t="s">
        <v>589</v>
      </c>
      <c r="F315" s="9" t="s">
        <v>590</v>
      </c>
      <c r="G315" s="7" t="s">
        <v>27</v>
      </c>
      <c r="H315" s="7">
        <v>10.0</v>
      </c>
      <c r="I315" s="7">
        <v>1.0</v>
      </c>
      <c r="J315" s="7">
        <f t="shared" si="1"/>
        <v>5</v>
      </c>
      <c r="K315" s="7">
        <v>0.0</v>
      </c>
      <c r="L315" s="7"/>
      <c r="M315" s="7">
        <f t="shared" si="2"/>
        <v>0</v>
      </c>
      <c r="N315" s="7">
        <v>0.0</v>
      </c>
      <c r="O315" s="7"/>
      <c r="P315" s="7">
        <f t="shared" si="3"/>
        <v>0</v>
      </c>
      <c r="Q315" s="7">
        <v>5.0</v>
      </c>
      <c r="R315" s="7"/>
      <c r="S315" s="7">
        <f t="shared" si="4"/>
        <v>5</v>
      </c>
      <c r="T315" s="7">
        <v>0.0</v>
      </c>
      <c r="U315" s="7"/>
      <c r="V315" s="7">
        <f t="shared" si="5"/>
        <v>0</v>
      </c>
      <c r="W315" s="7">
        <v>0.0</v>
      </c>
      <c r="X315" s="7"/>
      <c r="Y315" s="7">
        <f t="shared" si="6"/>
        <v>0</v>
      </c>
      <c r="Z315" s="7">
        <v>0.0</v>
      </c>
      <c r="AA315" s="7"/>
      <c r="AB315" s="7">
        <f t="shared" si="7"/>
        <v>0</v>
      </c>
      <c r="AC315" s="7">
        <v>0.0</v>
      </c>
      <c r="AD315" s="7"/>
      <c r="AE315" s="7">
        <f t="shared" si="8"/>
        <v>0</v>
      </c>
      <c r="AF315" s="10"/>
      <c r="AG315" s="10"/>
      <c r="AH315" s="10"/>
      <c r="AI315" s="10"/>
    </row>
    <row r="316" ht="30.0" customHeight="1">
      <c r="A316" s="7">
        <v>314.0</v>
      </c>
      <c r="B316" s="7">
        <v>5.6100045E7</v>
      </c>
      <c r="C316" s="7">
        <v>24.0</v>
      </c>
      <c r="D316" s="7">
        <v>70.0</v>
      </c>
      <c r="E316" s="8" t="s">
        <v>591</v>
      </c>
      <c r="F316" s="9" t="s">
        <v>592</v>
      </c>
      <c r="G316" s="7" t="s">
        <v>121</v>
      </c>
      <c r="H316" s="7">
        <v>4.0</v>
      </c>
      <c r="I316" s="11">
        <v>0.0</v>
      </c>
      <c r="J316" s="7">
        <f t="shared" si="1"/>
        <v>4</v>
      </c>
      <c r="K316" s="7">
        <v>0.0</v>
      </c>
      <c r="L316" s="7"/>
      <c r="M316" s="7">
        <f t="shared" si="2"/>
        <v>0</v>
      </c>
      <c r="N316" s="7">
        <v>0.0</v>
      </c>
      <c r="O316" s="7"/>
      <c r="P316" s="7">
        <f t="shared" si="3"/>
        <v>0</v>
      </c>
      <c r="Q316" s="7">
        <v>4.0</v>
      </c>
      <c r="R316" s="7"/>
      <c r="S316" s="7">
        <f t="shared" si="4"/>
        <v>4</v>
      </c>
      <c r="T316" s="7">
        <v>0.0</v>
      </c>
      <c r="U316" s="7"/>
      <c r="V316" s="7">
        <f t="shared" si="5"/>
        <v>0</v>
      </c>
      <c r="W316" s="7">
        <v>0.0</v>
      </c>
      <c r="X316" s="7"/>
      <c r="Y316" s="7">
        <f t="shared" si="6"/>
        <v>0</v>
      </c>
      <c r="Z316" s="7">
        <v>0.0</v>
      </c>
      <c r="AA316" s="7"/>
      <c r="AB316" s="7">
        <f t="shared" si="7"/>
        <v>0</v>
      </c>
      <c r="AC316" s="7">
        <v>0.0</v>
      </c>
      <c r="AD316" s="7"/>
      <c r="AE316" s="7">
        <f t="shared" si="8"/>
        <v>0</v>
      </c>
      <c r="AF316" s="10"/>
      <c r="AG316" s="10"/>
      <c r="AH316" s="10"/>
      <c r="AI316" s="10"/>
    </row>
    <row r="317" ht="30.0" customHeight="1">
      <c r="A317" s="7">
        <v>315.0</v>
      </c>
      <c r="B317" s="7">
        <v>4.7160123E7</v>
      </c>
      <c r="C317" s="7">
        <v>24.0</v>
      </c>
      <c r="D317" s="7">
        <v>70.0</v>
      </c>
      <c r="E317" s="8" t="s">
        <v>593</v>
      </c>
      <c r="F317" s="9" t="s">
        <v>594</v>
      </c>
      <c r="G317" s="7" t="s">
        <v>27</v>
      </c>
      <c r="H317" s="7">
        <v>2.0</v>
      </c>
      <c r="I317" s="7">
        <v>1.0</v>
      </c>
      <c r="J317" s="7">
        <f t="shared" si="1"/>
        <v>1</v>
      </c>
      <c r="K317" s="7">
        <v>0.0</v>
      </c>
      <c r="L317" s="7"/>
      <c r="M317" s="7">
        <f t="shared" si="2"/>
        <v>0</v>
      </c>
      <c r="N317" s="7">
        <v>0.0</v>
      </c>
      <c r="O317" s="7"/>
      <c r="P317" s="7">
        <f t="shared" si="3"/>
        <v>0</v>
      </c>
      <c r="Q317" s="7">
        <v>1.0</v>
      </c>
      <c r="R317" s="7"/>
      <c r="S317" s="7">
        <f t="shared" si="4"/>
        <v>1</v>
      </c>
      <c r="T317" s="7">
        <v>0.0</v>
      </c>
      <c r="U317" s="7"/>
      <c r="V317" s="7">
        <f t="shared" si="5"/>
        <v>0</v>
      </c>
      <c r="W317" s="7">
        <v>0.0</v>
      </c>
      <c r="X317" s="7"/>
      <c r="Y317" s="7">
        <f t="shared" si="6"/>
        <v>0</v>
      </c>
      <c r="Z317" s="7">
        <v>0.0</v>
      </c>
      <c r="AA317" s="7"/>
      <c r="AB317" s="7">
        <f t="shared" si="7"/>
        <v>0</v>
      </c>
      <c r="AC317" s="7">
        <v>0.0</v>
      </c>
      <c r="AD317" s="7"/>
      <c r="AE317" s="7">
        <f t="shared" si="8"/>
        <v>0</v>
      </c>
      <c r="AF317" s="10"/>
      <c r="AG317" s="10"/>
      <c r="AH317" s="10"/>
      <c r="AI317" s="10"/>
    </row>
    <row r="318" ht="30.0" customHeight="1">
      <c r="A318" s="7">
        <v>316.0</v>
      </c>
      <c r="B318" s="7">
        <v>4.716007E7</v>
      </c>
      <c r="C318" s="7">
        <v>23.0</v>
      </c>
      <c r="D318" s="7">
        <v>70.0</v>
      </c>
      <c r="E318" s="8" t="s">
        <v>595</v>
      </c>
      <c r="F318" s="9" t="s">
        <v>595</v>
      </c>
      <c r="G318" s="7" t="s">
        <v>27</v>
      </c>
      <c r="H318" s="7">
        <v>6.0</v>
      </c>
      <c r="I318" s="7">
        <v>2.0</v>
      </c>
      <c r="J318" s="7">
        <f t="shared" si="1"/>
        <v>4</v>
      </c>
      <c r="K318" s="7">
        <v>4.0</v>
      </c>
      <c r="L318" s="7"/>
      <c r="M318" s="7">
        <f t="shared" si="2"/>
        <v>4</v>
      </c>
      <c r="N318" s="7">
        <v>0.0</v>
      </c>
      <c r="O318" s="7"/>
      <c r="P318" s="7">
        <f t="shared" si="3"/>
        <v>0</v>
      </c>
      <c r="Q318" s="7">
        <v>0.0</v>
      </c>
      <c r="R318" s="7"/>
      <c r="S318" s="7">
        <f t="shared" si="4"/>
        <v>0</v>
      </c>
      <c r="T318" s="7">
        <v>0.0</v>
      </c>
      <c r="U318" s="7"/>
      <c r="V318" s="7">
        <f t="shared" si="5"/>
        <v>0</v>
      </c>
      <c r="W318" s="7">
        <v>0.0</v>
      </c>
      <c r="X318" s="7"/>
      <c r="Y318" s="7">
        <f t="shared" si="6"/>
        <v>0</v>
      </c>
      <c r="Z318" s="7">
        <v>0.0</v>
      </c>
      <c r="AA318" s="7"/>
      <c r="AB318" s="7">
        <f t="shared" si="7"/>
        <v>0</v>
      </c>
      <c r="AC318" s="7">
        <v>0.0</v>
      </c>
      <c r="AD318" s="7"/>
      <c r="AE318" s="7">
        <f t="shared" si="8"/>
        <v>0</v>
      </c>
      <c r="AF318" s="10"/>
      <c r="AG318" s="10"/>
      <c r="AH318" s="10"/>
      <c r="AI318" s="10"/>
    </row>
    <row r="319" ht="30.0" customHeight="1">
      <c r="A319" s="7">
        <v>317.0</v>
      </c>
      <c r="B319" s="7">
        <v>4.7420455E7</v>
      </c>
      <c r="C319" s="7">
        <v>24.0</v>
      </c>
      <c r="D319" s="7">
        <v>70.0</v>
      </c>
      <c r="E319" s="8" t="s">
        <v>596</v>
      </c>
      <c r="F319" s="9" t="s">
        <v>596</v>
      </c>
      <c r="G319" s="7" t="s">
        <v>27</v>
      </c>
      <c r="H319" s="7">
        <v>6.0</v>
      </c>
      <c r="I319" s="7">
        <v>5.0</v>
      </c>
      <c r="J319" s="7">
        <f t="shared" si="1"/>
        <v>4</v>
      </c>
      <c r="K319" s="7">
        <v>4.0</v>
      </c>
      <c r="L319" s="7"/>
      <c r="M319" s="7">
        <f t="shared" si="2"/>
        <v>4</v>
      </c>
      <c r="N319" s="7">
        <v>0.0</v>
      </c>
      <c r="O319" s="7"/>
      <c r="P319" s="7">
        <f t="shared" si="3"/>
        <v>0</v>
      </c>
      <c r="Q319" s="7">
        <v>0.0</v>
      </c>
      <c r="R319" s="7"/>
      <c r="S319" s="7">
        <f t="shared" si="4"/>
        <v>0</v>
      </c>
      <c r="T319" s="7">
        <v>0.0</v>
      </c>
      <c r="U319" s="7"/>
      <c r="V319" s="7">
        <f t="shared" si="5"/>
        <v>0</v>
      </c>
      <c r="W319" s="7">
        <v>0.0</v>
      </c>
      <c r="X319" s="7"/>
      <c r="Y319" s="7">
        <f t="shared" si="6"/>
        <v>0</v>
      </c>
      <c r="Z319" s="7">
        <v>0.0</v>
      </c>
      <c r="AA319" s="7"/>
      <c r="AB319" s="7">
        <f t="shared" si="7"/>
        <v>0</v>
      </c>
      <c r="AC319" s="7">
        <v>0.0</v>
      </c>
      <c r="AD319" s="7"/>
      <c r="AE319" s="7">
        <f t="shared" si="8"/>
        <v>0</v>
      </c>
      <c r="AF319" s="10"/>
      <c r="AG319" s="10"/>
      <c r="AH319" s="10"/>
      <c r="AI319" s="10"/>
    </row>
    <row r="320" ht="30.0" customHeight="1">
      <c r="A320" s="7">
        <v>318.0</v>
      </c>
      <c r="B320" s="7">
        <v>4.6150067E7</v>
      </c>
      <c r="C320" s="7">
        <v>23.0</v>
      </c>
      <c r="D320" s="7">
        <v>10.0</v>
      </c>
      <c r="E320" s="8" t="s">
        <v>597</v>
      </c>
      <c r="F320" s="9" t="s">
        <v>598</v>
      </c>
      <c r="G320" s="7" t="s">
        <v>27</v>
      </c>
      <c r="H320" s="7">
        <v>40.0</v>
      </c>
      <c r="I320" s="15">
        <v>21.0</v>
      </c>
      <c r="J320" s="7">
        <f t="shared" si="1"/>
        <v>40</v>
      </c>
      <c r="K320" s="7">
        <v>40.0</v>
      </c>
      <c r="L320" s="7"/>
      <c r="M320" s="7">
        <f t="shared" si="2"/>
        <v>40</v>
      </c>
      <c r="N320" s="7">
        <v>0.0</v>
      </c>
      <c r="O320" s="7"/>
      <c r="P320" s="7">
        <f t="shared" si="3"/>
        <v>0</v>
      </c>
      <c r="Q320" s="7">
        <v>0.0</v>
      </c>
      <c r="R320" s="7"/>
      <c r="S320" s="7">
        <f t="shared" si="4"/>
        <v>0</v>
      </c>
      <c r="T320" s="7">
        <v>0.0</v>
      </c>
      <c r="U320" s="7"/>
      <c r="V320" s="7">
        <f t="shared" si="5"/>
        <v>0</v>
      </c>
      <c r="W320" s="7">
        <v>0.0</v>
      </c>
      <c r="X320" s="7"/>
      <c r="Y320" s="7">
        <f t="shared" si="6"/>
        <v>0</v>
      </c>
      <c r="Z320" s="7">
        <v>0.0</v>
      </c>
      <c r="AA320" s="7"/>
      <c r="AB320" s="7">
        <f t="shared" si="7"/>
        <v>0</v>
      </c>
      <c r="AC320" s="7">
        <v>0.0</v>
      </c>
      <c r="AD320" s="7"/>
      <c r="AE320" s="7">
        <f t="shared" si="8"/>
        <v>0</v>
      </c>
      <c r="AF320" s="15">
        <v>30.0</v>
      </c>
      <c r="AG320" s="15">
        <v>36.0</v>
      </c>
      <c r="AH320" s="15">
        <v>32.0</v>
      </c>
      <c r="AI320" s="15">
        <v>6.0</v>
      </c>
    </row>
    <row r="321" ht="30.0" customHeight="1">
      <c r="A321" s="7">
        <v>319.0</v>
      </c>
      <c r="B321" s="7">
        <v>4.6150079E7</v>
      </c>
      <c r="C321" s="7">
        <v>24.0</v>
      </c>
      <c r="D321" s="7">
        <v>70.0</v>
      </c>
      <c r="E321" s="8" t="s">
        <v>599</v>
      </c>
      <c r="F321" s="9" t="s">
        <v>600</v>
      </c>
      <c r="G321" s="7" t="s">
        <v>27</v>
      </c>
      <c r="H321" s="7">
        <v>6.0</v>
      </c>
      <c r="I321" s="7">
        <v>2.0</v>
      </c>
      <c r="J321" s="7">
        <f t="shared" si="1"/>
        <v>6</v>
      </c>
      <c r="K321" s="7">
        <v>6.0</v>
      </c>
      <c r="L321" s="7"/>
      <c r="M321" s="7">
        <f t="shared" si="2"/>
        <v>6</v>
      </c>
      <c r="N321" s="7">
        <v>0.0</v>
      </c>
      <c r="O321" s="7"/>
      <c r="P321" s="7">
        <f t="shared" si="3"/>
        <v>0</v>
      </c>
      <c r="Q321" s="7">
        <v>0.0</v>
      </c>
      <c r="R321" s="7"/>
      <c r="S321" s="7">
        <f t="shared" si="4"/>
        <v>0</v>
      </c>
      <c r="T321" s="7">
        <v>0.0</v>
      </c>
      <c r="U321" s="7"/>
      <c r="V321" s="7">
        <f t="shared" si="5"/>
        <v>0</v>
      </c>
      <c r="W321" s="7">
        <v>0.0</v>
      </c>
      <c r="X321" s="7"/>
      <c r="Y321" s="7">
        <f t="shared" si="6"/>
        <v>0</v>
      </c>
      <c r="Z321" s="7">
        <v>0.0</v>
      </c>
      <c r="AA321" s="7"/>
      <c r="AB321" s="7">
        <f t="shared" si="7"/>
        <v>0</v>
      </c>
      <c r="AC321" s="7">
        <v>0.0</v>
      </c>
      <c r="AD321" s="7"/>
      <c r="AE321" s="7">
        <f t="shared" si="8"/>
        <v>0</v>
      </c>
      <c r="AF321" s="10"/>
      <c r="AG321" s="10"/>
      <c r="AH321" s="10"/>
      <c r="AI321" s="10"/>
    </row>
    <row r="322" ht="30.0" customHeight="1">
      <c r="A322" s="7">
        <v>320.0</v>
      </c>
      <c r="B322" s="7">
        <v>4.6090046E7</v>
      </c>
      <c r="C322" s="7">
        <v>24.0</v>
      </c>
      <c r="D322" s="7">
        <v>70.0</v>
      </c>
      <c r="E322" s="8" t="s">
        <v>601</v>
      </c>
      <c r="F322" s="9" t="s">
        <v>602</v>
      </c>
      <c r="G322" s="7" t="s">
        <v>27</v>
      </c>
      <c r="H322" s="7">
        <v>4.0</v>
      </c>
      <c r="I322" s="11">
        <v>0.0</v>
      </c>
      <c r="J322" s="7">
        <f t="shared" si="1"/>
        <v>0</v>
      </c>
      <c r="K322" s="7">
        <v>0.0</v>
      </c>
      <c r="L322" s="7"/>
      <c r="M322" s="7">
        <f t="shared" si="2"/>
        <v>0</v>
      </c>
      <c r="N322" s="7">
        <v>0.0</v>
      </c>
      <c r="O322" s="7"/>
      <c r="P322" s="7">
        <f t="shared" si="3"/>
        <v>0</v>
      </c>
      <c r="Q322" s="7">
        <v>0.0</v>
      </c>
      <c r="R322" s="7"/>
      <c r="S322" s="7">
        <f t="shared" si="4"/>
        <v>0</v>
      </c>
      <c r="T322" s="7">
        <v>0.0</v>
      </c>
      <c r="U322" s="7"/>
      <c r="V322" s="7">
        <f t="shared" si="5"/>
        <v>0</v>
      </c>
      <c r="W322" s="7">
        <v>0.0</v>
      </c>
      <c r="X322" s="7"/>
      <c r="Y322" s="7">
        <f t="shared" si="6"/>
        <v>0</v>
      </c>
      <c r="Z322" s="7">
        <v>0.0</v>
      </c>
      <c r="AA322" s="7"/>
      <c r="AB322" s="7">
        <f t="shared" si="7"/>
        <v>0</v>
      </c>
      <c r="AC322" s="7">
        <v>0.0</v>
      </c>
      <c r="AD322" s="7"/>
      <c r="AE322" s="7">
        <f t="shared" si="8"/>
        <v>0</v>
      </c>
      <c r="AF322" s="7">
        <v>4.0</v>
      </c>
      <c r="AG322" s="7">
        <v>2.0</v>
      </c>
      <c r="AH322" s="7">
        <v>2.0</v>
      </c>
      <c r="AI322" s="11">
        <v>0.0</v>
      </c>
    </row>
    <row r="323" ht="30.0" customHeight="1">
      <c r="A323" s="7">
        <v>321.0</v>
      </c>
      <c r="B323" s="7">
        <v>4.609001E7</v>
      </c>
      <c r="C323" s="7">
        <v>23.0</v>
      </c>
      <c r="D323" s="7">
        <v>10.0</v>
      </c>
      <c r="E323" s="8" t="s">
        <v>603</v>
      </c>
      <c r="F323" s="9" t="s">
        <v>604</v>
      </c>
      <c r="G323" s="7" t="s">
        <v>27</v>
      </c>
      <c r="H323" s="7">
        <v>16.0</v>
      </c>
      <c r="I323" s="7">
        <v>2.0</v>
      </c>
      <c r="J323" s="7">
        <f t="shared" si="1"/>
        <v>0</v>
      </c>
      <c r="K323" s="7">
        <v>0.0</v>
      </c>
      <c r="L323" s="7"/>
      <c r="M323" s="7">
        <f t="shared" si="2"/>
        <v>0</v>
      </c>
      <c r="N323" s="7">
        <v>0.0</v>
      </c>
      <c r="O323" s="7"/>
      <c r="P323" s="7">
        <f t="shared" si="3"/>
        <v>0</v>
      </c>
      <c r="Q323" s="7">
        <v>0.0</v>
      </c>
      <c r="R323" s="7"/>
      <c r="S323" s="7">
        <f t="shared" si="4"/>
        <v>0</v>
      </c>
      <c r="T323" s="7">
        <v>0.0</v>
      </c>
      <c r="U323" s="7"/>
      <c r="V323" s="7">
        <f t="shared" si="5"/>
        <v>0</v>
      </c>
      <c r="W323" s="7">
        <v>0.0</v>
      </c>
      <c r="X323" s="7"/>
      <c r="Y323" s="7">
        <f t="shared" si="6"/>
        <v>0</v>
      </c>
      <c r="Z323" s="7">
        <v>0.0</v>
      </c>
      <c r="AA323" s="7"/>
      <c r="AB323" s="7">
        <f t="shared" si="7"/>
        <v>0</v>
      </c>
      <c r="AC323" s="7">
        <v>0.0</v>
      </c>
      <c r="AD323" s="7"/>
      <c r="AE323" s="7">
        <f t="shared" si="8"/>
        <v>0</v>
      </c>
      <c r="AF323" s="10"/>
      <c r="AG323" s="10"/>
      <c r="AH323" s="10"/>
      <c r="AI323" s="10"/>
    </row>
    <row r="324" ht="30.0" customHeight="1">
      <c r="A324" s="7">
        <v>322.0</v>
      </c>
      <c r="B324" s="7">
        <v>4.6090071E7</v>
      </c>
      <c r="C324" s="7">
        <v>24.0</v>
      </c>
      <c r="D324" s="7">
        <v>70.0</v>
      </c>
      <c r="E324" s="8" t="s">
        <v>605</v>
      </c>
      <c r="F324" s="9" t="s">
        <v>606</v>
      </c>
      <c r="G324" s="7" t="s">
        <v>27</v>
      </c>
      <c r="H324" s="7">
        <v>6.0</v>
      </c>
      <c r="I324" s="11">
        <v>0.0</v>
      </c>
      <c r="J324" s="7">
        <f t="shared" si="1"/>
        <v>6</v>
      </c>
      <c r="K324" s="7">
        <v>0.0</v>
      </c>
      <c r="L324" s="7"/>
      <c r="M324" s="7">
        <f t="shared" si="2"/>
        <v>0</v>
      </c>
      <c r="N324" s="7">
        <v>6.0</v>
      </c>
      <c r="O324" s="7"/>
      <c r="P324" s="7">
        <f t="shared" si="3"/>
        <v>6</v>
      </c>
      <c r="Q324" s="7">
        <v>0.0</v>
      </c>
      <c r="R324" s="7"/>
      <c r="S324" s="7">
        <f t="shared" si="4"/>
        <v>0</v>
      </c>
      <c r="T324" s="7">
        <v>0.0</v>
      </c>
      <c r="U324" s="7"/>
      <c r="V324" s="7">
        <f t="shared" si="5"/>
        <v>0</v>
      </c>
      <c r="W324" s="7">
        <v>0.0</v>
      </c>
      <c r="X324" s="7"/>
      <c r="Y324" s="7">
        <f t="shared" si="6"/>
        <v>0</v>
      </c>
      <c r="Z324" s="7">
        <v>0.0</v>
      </c>
      <c r="AA324" s="7"/>
      <c r="AB324" s="7">
        <f t="shared" si="7"/>
        <v>0</v>
      </c>
      <c r="AC324" s="7">
        <v>0.0</v>
      </c>
      <c r="AD324" s="7"/>
      <c r="AE324" s="7">
        <f t="shared" si="8"/>
        <v>0</v>
      </c>
      <c r="AF324" s="11">
        <v>0.0</v>
      </c>
      <c r="AG324" s="11">
        <v>0.0</v>
      </c>
      <c r="AH324" s="11">
        <v>0.0</v>
      </c>
      <c r="AI324" s="11">
        <v>0.0</v>
      </c>
    </row>
    <row r="325" ht="30.0" customHeight="1">
      <c r="A325" s="7">
        <v>323.0</v>
      </c>
      <c r="B325" s="7">
        <v>6.7900008E7</v>
      </c>
      <c r="C325" s="7">
        <v>24.0</v>
      </c>
      <c r="D325" s="7">
        <v>70.0</v>
      </c>
      <c r="E325" s="8" t="s">
        <v>607</v>
      </c>
      <c r="F325" s="9" t="s">
        <v>608</v>
      </c>
      <c r="G325" s="7" t="s">
        <v>27</v>
      </c>
      <c r="H325" s="7">
        <v>10.0</v>
      </c>
      <c r="I325" s="11">
        <v>0.0</v>
      </c>
      <c r="J325" s="7">
        <f t="shared" si="1"/>
        <v>0</v>
      </c>
      <c r="K325" s="7">
        <v>0.0</v>
      </c>
      <c r="L325" s="7"/>
      <c r="M325" s="7">
        <f t="shared" si="2"/>
        <v>0</v>
      </c>
      <c r="N325" s="7">
        <v>0.0</v>
      </c>
      <c r="O325" s="7"/>
      <c r="P325" s="7">
        <f t="shared" si="3"/>
        <v>0</v>
      </c>
      <c r="Q325" s="7">
        <v>0.0</v>
      </c>
      <c r="R325" s="7"/>
      <c r="S325" s="7">
        <f t="shared" si="4"/>
        <v>0</v>
      </c>
      <c r="T325" s="7">
        <v>0.0</v>
      </c>
      <c r="U325" s="7"/>
      <c r="V325" s="7">
        <f t="shared" si="5"/>
        <v>0</v>
      </c>
      <c r="W325" s="7">
        <v>0.0</v>
      </c>
      <c r="X325" s="7"/>
      <c r="Y325" s="7">
        <f t="shared" si="6"/>
        <v>0</v>
      </c>
      <c r="Z325" s="7">
        <v>0.0</v>
      </c>
      <c r="AA325" s="7"/>
      <c r="AB325" s="7">
        <f t="shared" si="7"/>
        <v>0</v>
      </c>
      <c r="AC325" s="7">
        <v>0.0</v>
      </c>
      <c r="AD325" s="7"/>
      <c r="AE325" s="7">
        <f t="shared" si="8"/>
        <v>0</v>
      </c>
      <c r="AF325" s="11">
        <v>0.0</v>
      </c>
      <c r="AG325" s="7">
        <v>2.0</v>
      </c>
      <c r="AH325" s="11">
        <v>0.0</v>
      </c>
      <c r="AI325" s="11">
        <v>0.0</v>
      </c>
    </row>
    <row r="326" ht="30.0" customHeight="1">
      <c r="A326" s="7">
        <v>324.0</v>
      </c>
      <c r="B326" s="7">
        <v>4.6090034E7</v>
      </c>
      <c r="C326" s="7">
        <v>24.0</v>
      </c>
      <c r="D326" s="7">
        <v>70.0</v>
      </c>
      <c r="E326" s="8" t="s">
        <v>609</v>
      </c>
      <c r="F326" s="9" t="s">
        <v>610</v>
      </c>
      <c r="G326" s="7" t="s">
        <v>27</v>
      </c>
      <c r="H326" s="7">
        <v>20.0</v>
      </c>
      <c r="I326" s="7">
        <v>26.0</v>
      </c>
      <c r="J326" s="7">
        <f t="shared" si="1"/>
        <v>10</v>
      </c>
      <c r="K326" s="7">
        <v>10.0</v>
      </c>
      <c r="L326" s="7"/>
      <c r="M326" s="7">
        <f t="shared" si="2"/>
        <v>10</v>
      </c>
      <c r="N326" s="7">
        <v>0.0</v>
      </c>
      <c r="O326" s="7"/>
      <c r="P326" s="7">
        <f t="shared" si="3"/>
        <v>0</v>
      </c>
      <c r="Q326" s="7">
        <v>0.0</v>
      </c>
      <c r="R326" s="7"/>
      <c r="S326" s="7">
        <f t="shared" si="4"/>
        <v>0</v>
      </c>
      <c r="T326" s="7">
        <v>0.0</v>
      </c>
      <c r="U326" s="7"/>
      <c r="V326" s="7">
        <f t="shared" si="5"/>
        <v>0</v>
      </c>
      <c r="W326" s="7">
        <v>0.0</v>
      </c>
      <c r="X326" s="7"/>
      <c r="Y326" s="7">
        <f t="shared" si="6"/>
        <v>0</v>
      </c>
      <c r="Z326" s="7">
        <v>0.0</v>
      </c>
      <c r="AA326" s="7"/>
      <c r="AB326" s="7">
        <f t="shared" si="7"/>
        <v>0</v>
      </c>
      <c r="AC326" s="7">
        <v>0.0</v>
      </c>
      <c r="AD326" s="7"/>
      <c r="AE326" s="7">
        <f t="shared" si="8"/>
        <v>0</v>
      </c>
      <c r="AF326" s="10"/>
      <c r="AG326" s="10"/>
      <c r="AH326" s="10"/>
      <c r="AI326" s="10"/>
    </row>
    <row r="327" ht="30.0" customHeight="1">
      <c r="A327" s="7">
        <v>325.0</v>
      </c>
      <c r="B327" s="7">
        <v>4.6090022E7</v>
      </c>
      <c r="C327" s="7">
        <v>24.0</v>
      </c>
      <c r="D327" s="7">
        <v>70.0</v>
      </c>
      <c r="E327" s="8" t="s">
        <v>611</v>
      </c>
      <c r="F327" s="9" t="s">
        <v>612</v>
      </c>
      <c r="G327" s="7" t="s">
        <v>27</v>
      </c>
      <c r="H327" s="7">
        <v>20.0</v>
      </c>
      <c r="I327" s="7">
        <v>20.0</v>
      </c>
      <c r="J327" s="7">
        <f t="shared" si="1"/>
        <v>10</v>
      </c>
      <c r="K327" s="7">
        <v>10.0</v>
      </c>
      <c r="L327" s="7"/>
      <c r="M327" s="7">
        <f t="shared" si="2"/>
        <v>10</v>
      </c>
      <c r="N327" s="7">
        <v>0.0</v>
      </c>
      <c r="O327" s="7"/>
      <c r="P327" s="7">
        <f t="shared" si="3"/>
        <v>0</v>
      </c>
      <c r="Q327" s="7">
        <v>0.0</v>
      </c>
      <c r="R327" s="7"/>
      <c r="S327" s="7">
        <f t="shared" si="4"/>
        <v>0</v>
      </c>
      <c r="T327" s="7">
        <v>0.0</v>
      </c>
      <c r="U327" s="7"/>
      <c r="V327" s="7">
        <f t="shared" si="5"/>
        <v>0</v>
      </c>
      <c r="W327" s="7">
        <v>0.0</v>
      </c>
      <c r="X327" s="7"/>
      <c r="Y327" s="7">
        <f t="shared" si="6"/>
        <v>0</v>
      </c>
      <c r="Z327" s="7">
        <v>0.0</v>
      </c>
      <c r="AA327" s="7"/>
      <c r="AB327" s="7">
        <f t="shared" si="7"/>
        <v>0</v>
      </c>
      <c r="AC327" s="7">
        <v>0.0</v>
      </c>
      <c r="AD327" s="7"/>
      <c r="AE327" s="7">
        <f t="shared" si="8"/>
        <v>0</v>
      </c>
      <c r="AF327" s="10"/>
      <c r="AG327" s="10"/>
      <c r="AH327" s="10"/>
      <c r="AI327" s="10"/>
    </row>
    <row r="328" ht="30.0" customHeight="1">
      <c r="A328" s="7">
        <v>326.0</v>
      </c>
      <c r="B328" s="7">
        <v>4.6060029E7</v>
      </c>
      <c r="C328" s="7">
        <v>23.0</v>
      </c>
      <c r="D328" s="7">
        <v>70.0</v>
      </c>
      <c r="E328" s="8" t="s">
        <v>613</v>
      </c>
      <c r="F328" s="9" t="s">
        <v>614</v>
      </c>
      <c r="G328" s="7" t="s">
        <v>27</v>
      </c>
      <c r="H328" s="7">
        <v>40.0</v>
      </c>
      <c r="I328" s="7">
        <v>36.0</v>
      </c>
      <c r="J328" s="7">
        <f t="shared" si="1"/>
        <v>40</v>
      </c>
      <c r="K328" s="7">
        <v>30.0</v>
      </c>
      <c r="L328" s="7"/>
      <c r="M328" s="7">
        <f t="shared" si="2"/>
        <v>30</v>
      </c>
      <c r="N328" s="7">
        <v>10.0</v>
      </c>
      <c r="O328" s="7"/>
      <c r="P328" s="7">
        <f t="shared" si="3"/>
        <v>10</v>
      </c>
      <c r="Q328" s="7">
        <v>0.0</v>
      </c>
      <c r="R328" s="7"/>
      <c r="S328" s="7">
        <f t="shared" si="4"/>
        <v>0</v>
      </c>
      <c r="T328" s="7">
        <v>0.0</v>
      </c>
      <c r="U328" s="7"/>
      <c r="V328" s="7">
        <f t="shared" si="5"/>
        <v>0</v>
      </c>
      <c r="W328" s="7">
        <v>0.0</v>
      </c>
      <c r="X328" s="7"/>
      <c r="Y328" s="7">
        <f t="shared" si="6"/>
        <v>0</v>
      </c>
      <c r="Z328" s="7">
        <v>0.0</v>
      </c>
      <c r="AA328" s="7"/>
      <c r="AB328" s="7">
        <f t="shared" si="7"/>
        <v>0</v>
      </c>
      <c r="AC328" s="7">
        <v>0.0</v>
      </c>
      <c r="AD328" s="7"/>
      <c r="AE328" s="7">
        <f t="shared" si="8"/>
        <v>0</v>
      </c>
      <c r="AF328" s="10"/>
      <c r="AG328" s="10"/>
      <c r="AH328" s="10"/>
      <c r="AI328" s="10"/>
    </row>
    <row r="329" ht="30.0" customHeight="1">
      <c r="A329" s="7">
        <v>327.0</v>
      </c>
      <c r="B329" s="7">
        <v>4.2907597E7</v>
      </c>
      <c r="C329" s="7">
        <v>23.0</v>
      </c>
      <c r="D329" s="7">
        <v>10.0</v>
      </c>
      <c r="E329" s="8" t="s">
        <v>615</v>
      </c>
      <c r="F329" s="9" t="s">
        <v>616</v>
      </c>
      <c r="G329" s="7" t="s">
        <v>27</v>
      </c>
      <c r="H329" s="7">
        <v>40.0</v>
      </c>
      <c r="I329" s="7">
        <v>70.0</v>
      </c>
      <c r="J329" s="7">
        <f t="shared" si="1"/>
        <v>26</v>
      </c>
      <c r="K329" s="7">
        <v>20.0</v>
      </c>
      <c r="L329" s="7"/>
      <c r="M329" s="7">
        <f t="shared" si="2"/>
        <v>20</v>
      </c>
      <c r="N329" s="7">
        <v>6.0</v>
      </c>
      <c r="O329" s="7"/>
      <c r="P329" s="7">
        <f t="shared" si="3"/>
        <v>6</v>
      </c>
      <c r="Q329" s="7">
        <v>0.0</v>
      </c>
      <c r="R329" s="7"/>
      <c r="S329" s="7">
        <f t="shared" si="4"/>
        <v>0</v>
      </c>
      <c r="T329" s="7">
        <v>0.0</v>
      </c>
      <c r="U329" s="7"/>
      <c r="V329" s="7">
        <f t="shared" si="5"/>
        <v>0</v>
      </c>
      <c r="W329" s="7">
        <v>0.0</v>
      </c>
      <c r="X329" s="7"/>
      <c r="Y329" s="7">
        <f t="shared" si="6"/>
        <v>0</v>
      </c>
      <c r="Z329" s="7">
        <v>0.0</v>
      </c>
      <c r="AA329" s="7"/>
      <c r="AB329" s="7">
        <f t="shared" si="7"/>
        <v>0</v>
      </c>
      <c r="AC329" s="7">
        <v>0.0</v>
      </c>
      <c r="AD329" s="7"/>
      <c r="AE329" s="7">
        <f t="shared" si="8"/>
        <v>0</v>
      </c>
      <c r="AF329" s="10"/>
      <c r="AG329" s="10"/>
      <c r="AH329" s="10"/>
      <c r="AI329" s="10"/>
    </row>
    <row r="330" ht="30.0" customHeight="1">
      <c r="A330" s="7">
        <v>328.0</v>
      </c>
      <c r="B330" s="7">
        <v>4.2901017E7</v>
      </c>
      <c r="C330" s="7">
        <v>24.0</v>
      </c>
      <c r="D330" s="7">
        <v>70.0</v>
      </c>
      <c r="E330" s="8" t="s">
        <v>617</v>
      </c>
      <c r="F330" s="9" t="s">
        <v>617</v>
      </c>
      <c r="G330" s="7" t="s">
        <v>27</v>
      </c>
      <c r="H330" s="7">
        <v>16.0</v>
      </c>
      <c r="I330" s="7">
        <v>4.0</v>
      </c>
      <c r="J330" s="7">
        <f t="shared" si="1"/>
        <v>16</v>
      </c>
      <c r="K330" s="7">
        <v>2.0</v>
      </c>
      <c r="L330" s="7"/>
      <c r="M330" s="7">
        <f t="shared" si="2"/>
        <v>2</v>
      </c>
      <c r="N330" s="7">
        <v>8.0</v>
      </c>
      <c r="O330" s="7"/>
      <c r="P330" s="7">
        <f t="shared" si="3"/>
        <v>8</v>
      </c>
      <c r="Q330" s="7">
        <v>6.0</v>
      </c>
      <c r="R330" s="7"/>
      <c r="S330" s="7">
        <f t="shared" si="4"/>
        <v>6</v>
      </c>
      <c r="T330" s="7">
        <v>0.0</v>
      </c>
      <c r="U330" s="7"/>
      <c r="V330" s="7">
        <f t="shared" si="5"/>
        <v>0</v>
      </c>
      <c r="W330" s="7">
        <v>0.0</v>
      </c>
      <c r="X330" s="7"/>
      <c r="Y330" s="7">
        <f t="shared" si="6"/>
        <v>0</v>
      </c>
      <c r="Z330" s="7">
        <v>0.0</v>
      </c>
      <c r="AA330" s="7"/>
      <c r="AB330" s="7">
        <f t="shared" si="7"/>
        <v>0</v>
      </c>
      <c r="AC330" s="7">
        <v>0.0</v>
      </c>
      <c r="AD330" s="7"/>
      <c r="AE330" s="7">
        <f t="shared" si="8"/>
        <v>0</v>
      </c>
      <c r="AF330" s="10"/>
      <c r="AG330" s="10"/>
      <c r="AH330" s="10"/>
      <c r="AI330" s="10"/>
    </row>
    <row r="331" ht="30.0" customHeight="1">
      <c r="A331" s="7">
        <v>329.0</v>
      </c>
      <c r="B331" s="7">
        <v>4.1077787E7</v>
      </c>
      <c r="C331" s="7">
        <v>23.0</v>
      </c>
      <c r="D331" s="7">
        <v>10.0</v>
      </c>
      <c r="E331" s="8" t="s">
        <v>618</v>
      </c>
      <c r="F331" s="9" t="s">
        <v>619</v>
      </c>
      <c r="G331" s="7" t="s">
        <v>44</v>
      </c>
      <c r="H331" s="7">
        <v>5000.0</v>
      </c>
      <c r="I331" s="7">
        <v>4855.0</v>
      </c>
      <c r="J331" s="7">
        <f t="shared" si="1"/>
        <v>4500</v>
      </c>
      <c r="K331" s="7">
        <v>1000.0</v>
      </c>
      <c r="L331" s="7"/>
      <c r="M331" s="7">
        <f t="shared" si="2"/>
        <v>1000</v>
      </c>
      <c r="N331" s="7">
        <v>1000.0</v>
      </c>
      <c r="O331" s="7"/>
      <c r="P331" s="7">
        <f t="shared" si="3"/>
        <v>1000</v>
      </c>
      <c r="Q331" s="7">
        <v>1000.0</v>
      </c>
      <c r="R331" s="7"/>
      <c r="S331" s="7">
        <f t="shared" si="4"/>
        <v>1000</v>
      </c>
      <c r="T331" s="7">
        <v>500.0</v>
      </c>
      <c r="U331" s="7"/>
      <c r="V331" s="7">
        <f t="shared" si="5"/>
        <v>500</v>
      </c>
      <c r="W331" s="7">
        <v>500.0</v>
      </c>
      <c r="X331" s="7"/>
      <c r="Y331" s="7">
        <f t="shared" si="6"/>
        <v>500</v>
      </c>
      <c r="Z331" s="7">
        <v>500.0</v>
      </c>
      <c r="AA331" s="7"/>
      <c r="AB331" s="7">
        <f t="shared" si="7"/>
        <v>500</v>
      </c>
      <c r="AC331" s="7">
        <v>0.0</v>
      </c>
      <c r="AD331" s="7"/>
      <c r="AE331" s="7">
        <f t="shared" si="8"/>
        <v>0</v>
      </c>
      <c r="AF331" s="16">
        <v>8695.0</v>
      </c>
      <c r="AG331" s="7">
        <v>8737.0</v>
      </c>
      <c r="AH331" s="7">
        <v>9346.0</v>
      </c>
      <c r="AI331" s="11">
        <v>0.0</v>
      </c>
    </row>
    <row r="332" ht="30.0" customHeight="1">
      <c r="A332" s="7">
        <v>330.0</v>
      </c>
      <c r="B332" s="7">
        <v>4.1077763E7</v>
      </c>
      <c r="C332" s="7">
        <v>23.0</v>
      </c>
      <c r="D332" s="7">
        <v>10.0</v>
      </c>
      <c r="E332" s="8" t="s">
        <v>620</v>
      </c>
      <c r="F332" s="9" t="s">
        <v>621</v>
      </c>
      <c r="G332" s="7" t="s">
        <v>44</v>
      </c>
      <c r="H332" s="7">
        <v>5000.0</v>
      </c>
      <c r="I332" s="7">
        <v>455.0</v>
      </c>
      <c r="J332" s="7">
        <f t="shared" si="1"/>
        <v>4500</v>
      </c>
      <c r="K332" s="7">
        <v>1000.0</v>
      </c>
      <c r="L332" s="7"/>
      <c r="M332" s="7">
        <f t="shared" si="2"/>
        <v>1000</v>
      </c>
      <c r="N332" s="7">
        <v>1000.0</v>
      </c>
      <c r="O332" s="7"/>
      <c r="P332" s="7">
        <f t="shared" si="3"/>
        <v>1000</v>
      </c>
      <c r="Q332" s="7">
        <v>1000.0</v>
      </c>
      <c r="R332" s="7"/>
      <c r="S332" s="7">
        <f t="shared" si="4"/>
        <v>1000</v>
      </c>
      <c r="T332" s="7">
        <v>500.0</v>
      </c>
      <c r="U332" s="7"/>
      <c r="V332" s="7">
        <f t="shared" si="5"/>
        <v>500</v>
      </c>
      <c r="W332" s="7">
        <v>500.0</v>
      </c>
      <c r="X332" s="7"/>
      <c r="Y332" s="7">
        <f t="shared" si="6"/>
        <v>500</v>
      </c>
      <c r="Z332" s="7">
        <v>500.0</v>
      </c>
      <c r="AA332" s="7"/>
      <c r="AB332" s="7">
        <f t="shared" si="7"/>
        <v>500</v>
      </c>
      <c r="AC332" s="7">
        <v>0.0</v>
      </c>
      <c r="AD332" s="7"/>
      <c r="AE332" s="7">
        <f t="shared" si="8"/>
        <v>0</v>
      </c>
      <c r="AF332" s="7">
        <v>1211.0</v>
      </c>
      <c r="AG332" s="7">
        <v>2769.0</v>
      </c>
      <c r="AH332" s="7">
        <v>2571.0</v>
      </c>
      <c r="AI332" s="11">
        <v>0.0</v>
      </c>
    </row>
    <row r="333" ht="30.0" customHeight="1">
      <c r="A333" s="7">
        <v>331.0</v>
      </c>
      <c r="B333" s="7">
        <v>4.1077805E7</v>
      </c>
      <c r="C333" s="7">
        <v>23.0</v>
      </c>
      <c r="D333" s="7">
        <v>10.0</v>
      </c>
      <c r="E333" s="8" t="s">
        <v>622</v>
      </c>
      <c r="F333" s="9" t="s">
        <v>623</v>
      </c>
      <c r="G333" s="7" t="s">
        <v>44</v>
      </c>
      <c r="H333" s="7">
        <v>5000.0</v>
      </c>
      <c r="I333" s="7">
        <v>101.0</v>
      </c>
      <c r="J333" s="7">
        <f t="shared" si="1"/>
        <v>4500</v>
      </c>
      <c r="K333" s="7">
        <v>1000.0</v>
      </c>
      <c r="L333" s="7"/>
      <c r="M333" s="7">
        <f t="shared" si="2"/>
        <v>1000</v>
      </c>
      <c r="N333" s="7">
        <v>1000.0</v>
      </c>
      <c r="O333" s="7"/>
      <c r="P333" s="7">
        <f t="shared" si="3"/>
        <v>1000</v>
      </c>
      <c r="Q333" s="7">
        <v>1000.0</v>
      </c>
      <c r="R333" s="7"/>
      <c r="S333" s="7">
        <f t="shared" si="4"/>
        <v>1000</v>
      </c>
      <c r="T333" s="7">
        <v>500.0</v>
      </c>
      <c r="U333" s="7"/>
      <c r="V333" s="7">
        <f t="shared" si="5"/>
        <v>500</v>
      </c>
      <c r="W333" s="7">
        <v>500.0</v>
      </c>
      <c r="X333" s="7"/>
      <c r="Y333" s="7">
        <f t="shared" si="6"/>
        <v>500</v>
      </c>
      <c r="Z333" s="7">
        <v>500.0</v>
      </c>
      <c r="AA333" s="7"/>
      <c r="AB333" s="7">
        <f t="shared" si="7"/>
        <v>500</v>
      </c>
      <c r="AC333" s="7">
        <v>0.0</v>
      </c>
      <c r="AD333" s="7"/>
      <c r="AE333" s="7">
        <f t="shared" si="8"/>
        <v>0</v>
      </c>
      <c r="AF333" s="7">
        <v>18511.0</v>
      </c>
      <c r="AG333" s="7">
        <v>13629.0</v>
      </c>
      <c r="AH333" s="7">
        <v>21330.0</v>
      </c>
      <c r="AI333" s="11">
        <v>0.0</v>
      </c>
    </row>
    <row r="334" ht="30.0" customHeight="1">
      <c r="A334" s="7">
        <v>332.0</v>
      </c>
      <c r="B334" s="7">
        <v>4.1011466E7</v>
      </c>
      <c r="C334" s="7">
        <v>23.0</v>
      </c>
      <c r="D334" s="7">
        <v>10.0</v>
      </c>
      <c r="E334" s="8" t="s">
        <v>624</v>
      </c>
      <c r="F334" s="9" t="s">
        <v>625</v>
      </c>
      <c r="G334" s="7" t="s">
        <v>44</v>
      </c>
      <c r="H334" s="7">
        <v>570.0</v>
      </c>
      <c r="I334" s="7">
        <v>906.0</v>
      </c>
      <c r="J334" s="7">
        <f t="shared" si="1"/>
        <v>570</v>
      </c>
      <c r="K334" s="7">
        <v>300.0</v>
      </c>
      <c r="L334" s="7"/>
      <c r="M334" s="7">
        <f t="shared" si="2"/>
        <v>300</v>
      </c>
      <c r="N334" s="7">
        <v>270.0</v>
      </c>
      <c r="O334" s="7"/>
      <c r="P334" s="7">
        <f t="shared" si="3"/>
        <v>270</v>
      </c>
      <c r="Q334" s="7">
        <v>0.0</v>
      </c>
      <c r="R334" s="7"/>
      <c r="S334" s="7">
        <f t="shared" si="4"/>
        <v>0</v>
      </c>
      <c r="T334" s="7">
        <v>0.0</v>
      </c>
      <c r="U334" s="7"/>
      <c r="V334" s="7">
        <f t="shared" si="5"/>
        <v>0</v>
      </c>
      <c r="W334" s="7">
        <v>0.0</v>
      </c>
      <c r="X334" s="7"/>
      <c r="Y334" s="7">
        <f t="shared" si="6"/>
        <v>0</v>
      </c>
      <c r="Z334" s="7">
        <v>0.0</v>
      </c>
      <c r="AA334" s="7"/>
      <c r="AB334" s="7">
        <f t="shared" si="7"/>
        <v>0</v>
      </c>
      <c r="AC334" s="7">
        <v>0.0</v>
      </c>
      <c r="AD334" s="7"/>
      <c r="AE334" s="7">
        <f t="shared" si="8"/>
        <v>0</v>
      </c>
      <c r="AF334" s="7">
        <v>549.0</v>
      </c>
      <c r="AG334" s="7">
        <v>570.0</v>
      </c>
      <c r="AH334" s="7">
        <v>234.0</v>
      </c>
      <c r="AI334" s="11">
        <v>0.0</v>
      </c>
    </row>
    <row r="335" ht="30.0" customHeight="1">
      <c r="A335" s="7">
        <v>333.0</v>
      </c>
      <c r="B335" s="7">
        <v>4.1078007E7</v>
      </c>
      <c r="C335" s="7">
        <v>24.0</v>
      </c>
      <c r="D335" s="7">
        <v>10.0</v>
      </c>
      <c r="E335" s="8" t="s">
        <v>626</v>
      </c>
      <c r="F335" s="9" t="s">
        <v>626</v>
      </c>
      <c r="G335" s="7" t="s">
        <v>44</v>
      </c>
      <c r="H335" s="7">
        <v>50.0</v>
      </c>
      <c r="I335" s="7">
        <v>51.0</v>
      </c>
      <c r="J335" s="7">
        <f t="shared" si="1"/>
        <v>45</v>
      </c>
      <c r="K335" s="7">
        <v>15.0</v>
      </c>
      <c r="L335" s="7"/>
      <c r="M335" s="7">
        <f t="shared" si="2"/>
        <v>15</v>
      </c>
      <c r="N335" s="7">
        <v>15.0</v>
      </c>
      <c r="O335" s="7"/>
      <c r="P335" s="7">
        <f t="shared" si="3"/>
        <v>15</v>
      </c>
      <c r="Q335" s="7">
        <v>15.0</v>
      </c>
      <c r="R335" s="7"/>
      <c r="S335" s="7">
        <f t="shared" si="4"/>
        <v>15</v>
      </c>
      <c r="T335" s="7">
        <v>0.0</v>
      </c>
      <c r="U335" s="7"/>
      <c r="V335" s="7">
        <f t="shared" si="5"/>
        <v>0</v>
      </c>
      <c r="W335" s="7">
        <v>0.0</v>
      </c>
      <c r="X335" s="7"/>
      <c r="Y335" s="7">
        <f t="shared" si="6"/>
        <v>0</v>
      </c>
      <c r="Z335" s="7">
        <v>0.0</v>
      </c>
      <c r="AA335" s="7"/>
      <c r="AB335" s="7">
        <f t="shared" si="7"/>
        <v>0</v>
      </c>
      <c r="AC335" s="7">
        <v>0.0</v>
      </c>
      <c r="AD335" s="7"/>
      <c r="AE335" s="7">
        <f t="shared" si="8"/>
        <v>0</v>
      </c>
      <c r="AF335" s="10"/>
      <c r="AG335" s="10"/>
      <c r="AH335" s="10"/>
      <c r="AI335" s="10"/>
    </row>
    <row r="336" ht="30.0" customHeight="1">
      <c r="A336" s="7">
        <v>334.0</v>
      </c>
      <c r="B336" s="7">
        <v>4.1077994E7</v>
      </c>
      <c r="C336" s="7">
        <v>23.0</v>
      </c>
      <c r="D336" s="7">
        <v>10.0</v>
      </c>
      <c r="E336" s="8" t="s">
        <v>627</v>
      </c>
      <c r="F336" s="9" t="s">
        <v>628</v>
      </c>
      <c r="G336" s="7" t="s">
        <v>44</v>
      </c>
      <c r="H336" s="7">
        <v>60.0</v>
      </c>
      <c r="I336" s="7">
        <v>17.0</v>
      </c>
      <c r="J336" s="7">
        <f t="shared" si="1"/>
        <v>60</v>
      </c>
      <c r="K336" s="7">
        <v>10.0</v>
      </c>
      <c r="L336" s="7"/>
      <c r="M336" s="7">
        <f t="shared" si="2"/>
        <v>10</v>
      </c>
      <c r="N336" s="7">
        <v>10.0</v>
      </c>
      <c r="O336" s="7"/>
      <c r="P336" s="7">
        <f t="shared" si="3"/>
        <v>10</v>
      </c>
      <c r="Q336" s="7">
        <v>10.0</v>
      </c>
      <c r="R336" s="7"/>
      <c r="S336" s="7">
        <f t="shared" si="4"/>
        <v>10</v>
      </c>
      <c r="T336" s="7">
        <v>10.0</v>
      </c>
      <c r="U336" s="7"/>
      <c r="V336" s="7">
        <f t="shared" si="5"/>
        <v>10</v>
      </c>
      <c r="W336" s="7">
        <v>10.0</v>
      </c>
      <c r="X336" s="7"/>
      <c r="Y336" s="7">
        <f t="shared" si="6"/>
        <v>10</v>
      </c>
      <c r="Z336" s="7">
        <v>10.0</v>
      </c>
      <c r="AA336" s="7"/>
      <c r="AB336" s="7">
        <f t="shared" si="7"/>
        <v>10</v>
      </c>
      <c r="AC336" s="7">
        <v>0.0</v>
      </c>
      <c r="AD336" s="7"/>
      <c r="AE336" s="7">
        <f t="shared" si="8"/>
        <v>0</v>
      </c>
      <c r="AF336" s="10"/>
      <c r="AG336" s="10"/>
      <c r="AH336" s="10"/>
      <c r="AI336" s="10"/>
    </row>
    <row r="337" ht="30.0" customHeight="1">
      <c r="A337" s="7">
        <v>335.0</v>
      </c>
      <c r="B337" s="7">
        <v>4.0125555E7</v>
      </c>
      <c r="C337" s="7">
        <v>24.0</v>
      </c>
      <c r="D337" s="7">
        <v>70.0</v>
      </c>
      <c r="E337" s="8" t="s">
        <v>629</v>
      </c>
      <c r="F337" s="9" t="s">
        <v>630</v>
      </c>
      <c r="G337" s="7" t="s">
        <v>27</v>
      </c>
      <c r="H337" s="7">
        <v>18.0</v>
      </c>
      <c r="I337" s="7">
        <v>23.0</v>
      </c>
      <c r="J337" s="7">
        <f t="shared" si="1"/>
        <v>18</v>
      </c>
      <c r="K337" s="7">
        <v>18.0</v>
      </c>
      <c r="L337" s="7"/>
      <c r="M337" s="7">
        <f t="shared" si="2"/>
        <v>18</v>
      </c>
      <c r="N337" s="7">
        <v>0.0</v>
      </c>
      <c r="O337" s="7"/>
      <c r="P337" s="7">
        <f t="shared" si="3"/>
        <v>0</v>
      </c>
      <c r="Q337" s="7">
        <v>0.0</v>
      </c>
      <c r="R337" s="7"/>
      <c r="S337" s="7">
        <f t="shared" si="4"/>
        <v>0</v>
      </c>
      <c r="T337" s="7">
        <v>0.0</v>
      </c>
      <c r="U337" s="7"/>
      <c r="V337" s="7">
        <f t="shared" si="5"/>
        <v>0</v>
      </c>
      <c r="W337" s="7">
        <v>0.0</v>
      </c>
      <c r="X337" s="7"/>
      <c r="Y337" s="7">
        <f t="shared" si="6"/>
        <v>0</v>
      </c>
      <c r="Z337" s="7">
        <v>0.0</v>
      </c>
      <c r="AA337" s="7"/>
      <c r="AB337" s="7">
        <f t="shared" si="7"/>
        <v>0</v>
      </c>
      <c r="AC337" s="7">
        <v>0.0</v>
      </c>
      <c r="AD337" s="7"/>
      <c r="AE337" s="7">
        <f t="shared" si="8"/>
        <v>0</v>
      </c>
      <c r="AF337" s="10"/>
      <c r="AG337" s="10"/>
      <c r="AH337" s="10"/>
      <c r="AI337" s="10"/>
    </row>
    <row r="338" ht="30.0" customHeight="1">
      <c r="A338" s="7">
        <v>336.0</v>
      </c>
      <c r="B338" s="7">
        <v>4.0125543E7</v>
      </c>
      <c r="C338" s="7">
        <v>23.0</v>
      </c>
      <c r="D338" s="7">
        <v>10.0</v>
      </c>
      <c r="E338" s="8" t="s">
        <v>631</v>
      </c>
      <c r="F338" s="9" t="s">
        <v>632</v>
      </c>
      <c r="G338" s="7" t="s">
        <v>27</v>
      </c>
      <c r="H338" s="7">
        <v>24.0</v>
      </c>
      <c r="I338" s="7">
        <v>42.0</v>
      </c>
      <c r="J338" s="7">
        <f t="shared" si="1"/>
        <v>24</v>
      </c>
      <c r="K338" s="7">
        <v>0.0</v>
      </c>
      <c r="L338" s="7"/>
      <c r="M338" s="7">
        <f t="shared" si="2"/>
        <v>0</v>
      </c>
      <c r="N338" s="7">
        <v>24.0</v>
      </c>
      <c r="O338" s="7"/>
      <c r="P338" s="7">
        <f t="shared" si="3"/>
        <v>24</v>
      </c>
      <c r="Q338" s="7">
        <v>0.0</v>
      </c>
      <c r="R338" s="7"/>
      <c r="S338" s="7">
        <f t="shared" si="4"/>
        <v>0</v>
      </c>
      <c r="T338" s="7">
        <v>0.0</v>
      </c>
      <c r="U338" s="7"/>
      <c r="V338" s="7">
        <f t="shared" si="5"/>
        <v>0</v>
      </c>
      <c r="W338" s="7">
        <v>0.0</v>
      </c>
      <c r="X338" s="7"/>
      <c r="Y338" s="7">
        <f t="shared" si="6"/>
        <v>0</v>
      </c>
      <c r="Z338" s="7">
        <v>0.0</v>
      </c>
      <c r="AA338" s="7"/>
      <c r="AB338" s="7">
        <f t="shared" si="7"/>
        <v>0</v>
      </c>
      <c r="AC338" s="7">
        <v>0.0</v>
      </c>
      <c r="AD338" s="7"/>
      <c r="AE338" s="7">
        <f t="shared" si="8"/>
        <v>0</v>
      </c>
      <c r="AF338" s="10"/>
      <c r="AG338" s="10"/>
      <c r="AH338" s="10"/>
      <c r="AI338" s="10"/>
    </row>
    <row r="339" ht="30.0" customHeight="1">
      <c r="A339" s="7">
        <v>337.0</v>
      </c>
      <c r="B339" s="7">
        <v>4.0124873E7</v>
      </c>
      <c r="C339" s="7">
        <v>24.0</v>
      </c>
      <c r="D339" s="7">
        <v>70.0</v>
      </c>
      <c r="E339" s="8" t="s">
        <v>633</v>
      </c>
      <c r="F339" s="9" t="s">
        <v>634</v>
      </c>
      <c r="G339" s="7" t="s">
        <v>44</v>
      </c>
      <c r="H339" s="7">
        <v>100.0</v>
      </c>
      <c r="I339" s="7">
        <v>203.0</v>
      </c>
      <c r="J339" s="7">
        <f t="shared" si="1"/>
        <v>100</v>
      </c>
      <c r="K339" s="7">
        <v>100.0</v>
      </c>
      <c r="L339" s="7"/>
      <c r="M339" s="7">
        <f t="shared" si="2"/>
        <v>100</v>
      </c>
      <c r="N339" s="7">
        <v>0.0</v>
      </c>
      <c r="O339" s="7"/>
      <c r="P339" s="7">
        <f t="shared" si="3"/>
        <v>0</v>
      </c>
      <c r="Q339" s="7">
        <v>0.0</v>
      </c>
      <c r="R339" s="7"/>
      <c r="S339" s="7">
        <f t="shared" si="4"/>
        <v>0</v>
      </c>
      <c r="T339" s="7">
        <v>0.0</v>
      </c>
      <c r="U339" s="7"/>
      <c r="V339" s="7">
        <f t="shared" si="5"/>
        <v>0</v>
      </c>
      <c r="W339" s="7">
        <v>0.0</v>
      </c>
      <c r="X339" s="7"/>
      <c r="Y339" s="7">
        <f t="shared" si="6"/>
        <v>0</v>
      </c>
      <c r="Z339" s="7">
        <v>0.0</v>
      </c>
      <c r="AA339" s="7"/>
      <c r="AB339" s="7">
        <f t="shared" si="7"/>
        <v>0</v>
      </c>
      <c r="AC339" s="7">
        <v>0.0</v>
      </c>
      <c r="AD339" s="7"/>
      <c r="AE339" s="7">
        <f t="shared" si="8"/>
        <v>0</v>
      </c>
      <c r="AF339" s="10"/>
      <c r="AG339" s="10"/>
      <c r="AH339" s="10"/>
      <c r="AI339" s="10"/>
    </row>
    <row r="340" ht="30.0" customHeight="1">
      <c r="A340" s="7">
        <v>338.0</v>
      </c>
      <c r="B340" s="7">
        <v>4.0056259E7</v>
      </c>
      <c r="C340" s="7">
        <v>24.0</v>
      </c>
      <c r="D340" s="7">
        <v>70.0</v>
      </c>
      <c r="E340" s="8" t="s">
        <v>635</v>
      </c>
      <c r="F340" s="9" t="s">
        <v>636</v>
      </c>
      <c r="G340" s="7" t="s">
        <v>44</v>
      </c>
      <c r="H340" s="7">
        <v>200.0</v>
      </c>
      <c r="I340" s="7">
        <v>221.0</v>
      </c>
      <c r="J340" s="7">
        <f t="shared" si="1"/>
        <v>200</v>
      </c>
      <c r="K340" s="7">
        <v>200.0</v>
      </c>
      <c r="L340" s="7"/>
      <c r="M340" s="7">
        <f t="shared" si="2"/>
        <v>200</v>
      </c>
      <c r="N340" s="7">
        <v>0.0</v>
      </c>
      <c r="O340" s="7"/>
      <c r="P340" s="7">
        <f t="shared" si="3"/>
        <v>0</v>
      </c>
      <c r="Q340" s="7">
        <v>0.0</v>
      </c>
      <c r="R340" s="7"/>
      <c r="S340" s="7">
        <f t="shared" si="4"/>
        <v>0</v>
      </c>
      <c r="T340" s="7">
        <v>0.0</v>
      </c>
      <c r="U340" s="7"/>
      <c r="V340" s="7">
        <f t="shared" si="5"/>
        <v>0</v>
      </c>
      <c r="W340" s="7">
        <v>0.0</v>
      </c>
      <c r="X340" s="7"/>
      <c r="Y340" s="7">
        <f t="shared" si="6"/>
        <v>0</v>
      </c>
      <c r="Z340" s="7">
        <v>0.0</v>
      </c>
      <c r="AA340" s="7"/>
      <c r="AB340" s="7">
        <f t="shared" si="7"/>
        <v>0</v>
      </c>
      <c r="AC340" s="7">
        <v>0.0</v>
      </c>
      <c r="AD340" s="7"/>
      <c r="AE340" s="7">
        <f t="shared" si="8"/>
        <v>0</v>
      </c>
      <c r="AF340" s="10"/>
      <c r="AG340" s="10"/>
      <c r="AH340" s="10"/>
      <c r="AI340" s="10"/>
    </row>
    <row r="341" ht="30.0" customHeight="1">
      <c r="A341" s="7">
        <v>339.0</v>
      </c>
      <c r="B341" s="7">
        <v>4.0124757E7</v>
      </c>
      <c r="C341" s="7">
        <v>24.0</v>
      </c>
      <c r="D341" s="7">
        <v>70.0</v>
      </c>
      <c r="E341" s="8" t="s">
        <v>637</v>
      </c>
      <c r="F341" s="9" t="s">
        <v>638</v>
      </c>
      <c r="G341" s="7" t="s">
        <v>44</v>
      </c>
      <c r="H341" s="7">
        <v>86.0</v>
      </c>
      <c r="I341" s="11">
        <v>0.0</v>
      </c>
      <c r="J341" s="7">
        <f t="shared" si="1"/>
        <v>86</v>
      </c>
      <c r="K341" s="7">
        <v>86.0</v>
      </c>
      <c r="L341" s="7"/>
      <c r="M341" s="7">
        <f t="shared" si="2"/>
        <v>86</v>
      </c>
      <c r="N341" s="7">
        <v>0.0</v>
      </c>
      <c r="O341" s="7"/>
      <c r="P341" s="7">
        <f t="shared" si="3"/>
        <v>0</v>
      </c>
      <c r="Q341" s="7">
        <v>0.0</v>
      </c>
      <c r="R341" s="7"/>
      <c r="S341" s="7">
        <f t="shared" si="4"/>
        <v>0</v>
      </c>
      <c r="T341" s="7">
        <v>0.0</v>
      </c>
      <c r="U341" s="7"/>
      <c r="V341" s="7">
        <f t="shared" si="5"/>
        <v>0</v>
      </c>
      <c r="W341" s="7">
        <v>0.0</v>
      </c>
      <c r="X341" s="7"/>
      <c r="Y341" s="7">
        <f t="shared" si="6"/>
        <v>0</v>
      </c>
      <c r="Z341" s="7">
        <v>0.0</v>
      </c>
      <c r="AA341" s="7"/>
      <c r="AB341" s="7">
        <f t="shared" si="7"/>
        <v>0</v>
      </c>
      <c r="AC341" s="7">
        <v>0.0</v>
      </c>
      <c r="AD341" s="7"/>
      <c r="AE341" s="7">
        <f t="shared" si="8"/>
        <v>0</v>
      </c>
      <c r="AF341" s="11">
        <v>0.0</v>
      </c>
      <c r="AG341" s="7">
        <v>86.0</v>
      </c>
      <c r="AH341" s="7">
        <v>86.0</v>
      </c>
      <c r="AI341" s="11">
        <v>0.0</v>
      </c>
    </row>
    <row r="342" ht="30.0" customHeight="1">
      <c r="A342" s="7">
        <v>340.0</v>
      </c>
      <c r="B342" s="7">
        <v>4.0124861E7</v>
      </c>
      <c r="C342" s="7">
        <v>24.0</v>
      </c>
      <c r="D342" s="7">
        <v>10.0</v>
      </c>
      <c r="E342" s="8" t="s">
        <v>639</v>
      </c>
      <c r="F342" s="9" t="s">
        <v>640</v>
      </c>
      <c r="G342" s="7" t="s">
        <v>44</v>
      </c>
      <c r="H342" s="7">
        <v>180.0</v>
      </c>
      <c r="I342" s="7">
        <v>30.0</v>
      </c>
      <c r="J342" s="7">
        <f t="shared" si="1"/>
        <v>180</v>
      </c>
      <c r="K342" s="7">
        <v>180.0</v>
      </c>
      <c r="L342" s="7"/>
      <c r="M342" s="7">
        <f t="shared" si="2"/>
        <v>180</v>
      </c>
      <c r="N342" s="7">
        <v>0.0</v>
      </c>
      <c r="O342" s="7"/>
      <c r="P342" s="7">
        <f t="shared" si="3"/>
        <v>0</v>
      </c>
      <c r="Q342" s="7">
        <v>0.0</v>
      </c>
      <c r="R342" s="7"/>
      <c r="S342" s="7">
        <f t="shared" si="4"/>
        <v>0</v>
      </c>
      <c r="T342" s="7">
        <v>0.0</v>
      </c>
      <c r="U342" s="7"/>
      <c r="V342" s="7">
        <f t="shared" si="5"/>
        <v>0</v>
      </c>
      <c r="W342" s="7">
        <v>0.0</v>
      </c>
      <c r="X342" s="7"/>
      <c r="Y342" s="7">
        <f t="shared" si="6"/>
        <v>0</v>
      </c>
      <c r="Z342" s="7">
        <v>0.0</v>
      </c>
      <c r="AA342" s="7"/>
      <c r="AB342" s="7">
        <f t="shared" si="7"/>
        <v>0</v>
      </c>
      <c r="AC342" s="7">
        <v>0.0</v>
      </c>
      <c r="AD342" s="7"/>
      <c r="AE342" s="7">
        <f t="shared" si="8"/>
        <v>0</v>
      </c>
      <c r="AF342" s="7">
        <v>90.0</v>
      </c>
      <c r="AG342" s="11">
        <v>0.0</v>
      </c>
      <c r="AH342" s="7">
        <v>90.0</v>
      </c>
      <c r="AI342" s="11">
        <v>0.0</v>
      </c>
    </row>
    <row r="343" ht="30.0" customHeight="1">
      <c r="A343" s="7">
        <v>341.0</v>
      </c>
      <c r="B343" s="7">
        <v>4.01248E7</v>
      </c>
      <c r="C343" s="7">
        <v>24.0</v>
      </c>
      <c r="D343" s="7">
        <v>70.0</v>
      </c>
      <c r="E343" s="8" t="s">
        <v>641</v>
      </c>
      <c r="F343" s="9" t="s">
        <v>642</v>
      </c>
      <c r="G343" s="7" t="s">
        <v>44</v>
      </c>
      <c r="H343" s="7">
        <v>150.0</v>
      </c>
      <c r="I343" s="7">
        <v>153.0</v>
      </c>
      <c r="J343" s="7">
        <f t="shared" si="1"/>
        <v>150</v>
      </c>
      <c r="K343" s="7">
        <v>150.0</v>
      </c>
      <c r="L343" s="7"/>
      <c r="M343" s="7">
        <f t="shared" si="2"/>
        <v>150</v>
      </c>
      <c r="N343" s="7">
        <v>0.0</v>
      </c>
      <c r="O343" s="7"/>
      <c r="P343" s="7">
        <f t="shared" si="3"/>
        <v>0</v>
      </c>
      <c r="Q343" s="7">
        <v>0.0</v>
      </c>
      <c r="R343" s="7"/>
      <c r="S343" s="7">
        <f t="shared" si="4"/>
        <v>0</v>
      </c>
      <c r="T343" s="7">
        <v>0.0</v>
      </c>
      <c r="U343" s="7"/>
      <c r="V343" s="7">
        <f t="shared" si="5"/>
        <v>0</v>
      </c>
      <c r="W343" s="7">
        <v>0.0</v>
      </c>
      <c r="X343" s="7"/>
      <c r="Y343" s="7">
        <f t="shared" si="6"/>
        <v>0</v>
      </c>
      <c r="Z343" s="7">
        <v>0.0</v>
      </c>
      <c r="AA343" s="7"/>
      <c r="AB343" s="7">
        <f t="shared" si="7"/>
        <v>0</v>
      </c>
      <c r="AC343" s="7">
        <v>0.0</v>
      </c>
      <c r="AD343" s="7"/>
      <c r="AE343" s="7">
        <f t="shared" si="8"/>
        <v>0</v>
      </c>
      <c r="AF343" s="7">
        <v>153.0</v>
      </c>
      <c r="AG343" s="11">
        <v>0.0</v>
      </c>
      <c r="AH343" s="7">
        <v>150.0</v>
      </c>
      <c r="AI343" s="11">
        <v>0.0</v>
      </c>
    </row>
    <row r="344" ht="30.0" customHeight="1">
      <c r="A344" s="7">
        <v>342.0</v>
      </c>
      <c r="B344" s="7">
        <v>4.0072241E7</v>
      </c>
      <c r="C344" s="7">
        <v>24.0</v>
      </c>
      <c r="D344" s="7">
        <v>70.0</v>
      </c>
      <c r="E344" s="8" t="s">
        <v>643</v>
      </c>
      <c r="F344" s="9" t="s">
        <v>644</v>
      </c>
      <c r="G344" s="7" t="s">
        <v>44</v>
      </c>
      <c r="H344" s="7">
        <v>300.0</v>
      </c>
      <c r="I344" s="7">
        <v>200.0</v>
      </c>
      <c r="J344" s="7">
        <f t="shared" si="1"/>
        <v>300</v>
      </c>
      <c r="K344" s="7">
        <v>100.0</v>
      </c>
      <c r="L344" s="7"/>
      <c r="M344" s="7">
        <f t="shared" si="2"/>
        <v>100</v>
      </c>
      <c r="N344" s="7">
        <v>100.0</v>
      </c>
      <c r="O344" s="7"/>
      <c r="P344" s="7">
        <f t="shared" si="3"/>
        <v>100</v>
      </c>
      <c r="Q344" s="7">
        <v>100.0</v>
      </c>
      <c r="R344" s="7"/>
      <c r="S344" s="7">
        <f t="shared" si="4"/>
        <v>100</v>
      </c>
      <c r="T344" s="7">
        <v>0.0</v>
      </c>
      <c r="U344" s="7"/>
      <c r="V344" s="7">
        <f t="shared" si="5"/>
        <v>0</v>
      </c>
      <c r="W344" s="7">
        <v>0.0</v>
      </c>
      <c r="X344" s="7"/>
      <c r="Y344" s="7">
        <f t="shared" si="6"/>
        <v>0</v>
      </c>
      <c r="Z344" s="7">
        <v>0.0</v>
      </c>
      <c r="AA344" s="7"/>
      <c r="AB344" s="7">
        <f t="shared" si="7"/>
        <v>0</v>
      </c>
      <c r="AC344" s="7">
        <v>0.0</v>
      </c>
      <c r="AD344" s="7"/>
      <c r="AE344" s="7">
        <f t="shared" si="8"/>
        <v>0</v>
      </c>
      <c r="AF344" s="10"/>
      <c r="AG344" s="10"/>
      <c r="AH344" s="10"/>
      <c r="AI344" s="10"/>
    </row>
    <row r="345" ht="30.0" customHeight="1">
      <c r="A345" s="7">
        <v>343.0</v>
      </c>
      <c r="B345" s="7">
        <v>4.007223E7</v>
      </c>
      <c r="C345" s="7">
        <v>23.0</v>
      </c>
      <c r="D345" s="7">
        <v>10.0</v>
      </c>
      <c r="E345" s="8" t="s">
        <v>645</v>
      </c>
      <c r="F345" s="9" t="s">
        <v>646</v>
      </c>
      <c r="G345" s="7" t="s">
        <v>44</v>
      </c>
      <c r="H345" s="7">
        <v>400.0</v>
      </c>
      <c r="I345" s="7">
        <v>500.0</v>
      </c>
      <c r="J345" s="7">
        <f t="shared" si="1"/>
        <v>400</v>
      </c>
      <c r="K345" s="7">
        <v>200.0</v>
      </c>
      <c r="L345" s="7"/>
      <c r="M345" s="7">
        <f t="shared" si="2"/>
        <v>200</v>
      </c>
      <c r="N345" s="7">
        <v>0.0</v>
      </c>
      <c r="O345" s="7"/>
      <c r="P345" s="7">
        <f t="shared" si="3"/>
        <v>0</v>
      </c>
      <c r="Q345" s="7">
        <v>200.0</v>
      </c>
      <c r="R345" s="7"/>
      <c r="S345" s="7">
        <f t="shared" si="4"/>
        <v>200</v>
      </c>
      <c r="T345" s="7">
        <v>0.0</v>
      </c>
      <c r="U345" s="7"/>
      <c r="V345" s="7">
        <f t="shared" si="5"/>
        <v>0</v>
      </c>
      <c r="W345" s="7">
        <v>0.0</v>
      </c>
      <c r="X345" s="7"/>
      <c r="Y345" s="7">
        <f t="shared" si="6"/>
        <v>0</v>
      </c>
      <c r="Z345" s="7">
        <v>0.0</v>
      </c>
      <c r="AA345" s="7"/>
      <c r="AB345" s="7">
        <f t="shared" si="7"/>
        <v>0</v>
      </c>
      <c r="AC345" s="7">
        <v>0.0</v>
      </c>
      <c r="AD345" s="7"/>
      <c r="AE345" s="7">
        <f t="shared" si="8"/>
        <v>0</v>
      </c>
      <c r="AF345" s="10"/>
      <c r="AG345" s="10"/>
      <c r="AH345" s="10"/>
      <c r="AI345" s="10"/>
    </row>
    <row r="346" ht="30.0" customHeight="1">
      <c r="A346" s="7">
        <v>344.0</v>
      </c>
      <c r="B346" s="7">
        <v>4.0120211E7</v>
      </c>
      <c r="C346" s="7">
        <v>23.0</v>
      </c>
      <c r="D346" s="7">
        <v>10.0</v>
      </c>
      <c r="E346" s="8" t="s">
        <v>647</v>
      </c>
      <c r="F346" s="9" t="s">
        <v>648</v>
      </c>
      <c r="G346" s="7" t="s">
        <v>44</v>
      </c>
      <c r="H346" s="7">
        <v>2400.0</v>
      </c>
      <c r="I346" s="7">
        <v>3600.0</v>
      </c>
      <c r="J346" s="7">
        <f t="shared" si="1"/>
        <v>2400</v>
      </c>
      <c r="K346" s="7">
        <v>2000.0</v>
      </c>
      <c r="L346" s="7"/>
      <c r="M346" s="7">
        <f t="shared" si="2"/>
        <v>2000</v>
      </c>
      <c r="N346" s="7">
        <v>0.0</v>
      </c>
      <c r="O346" s="7"/>
      <c r="P346" s="7">
        <f t="shared" si="3"/>
        <v>0</v>
      </c>
      <c r="Q346" s="7">
        <v>200.0</v>
      </c>
      <c r="R346" s="7"/>
      <c r="S346" s="7">
        <f t="shared" si="4"/>
        <v>200</v>
      </c>
      <c r="T346" s="7">
        <v>0.0</v>
      </c>
      <c r="U346" s="7"/>
      <c r="V346" s="7">
        <f t="shared" si="5"/>
        <v>0</v>
      </c>
      <c r="W346" s="7">
        <v>0.0</v>
      </c>
      <c r="X346" s="7"/>
      <c r="Y346" s="7">
        <f t="shared" si="6"/>
        <v>0</v>
      </c>
      <c r="Z346" s="7">
        <v>200.0</v>
      </c>
      <c r="AA346" s="7"/>
      <c r="AB346" s="7">
        <f t="shared" si="7"/>
        <v>200</v>
      </c>
      <c r="AC346" s="7">
        <v>0.0</v>
      </c>
      <c r="AD346" s="7"/>
      <c r="AE346" s="7">
        <f t="shared" si="8"/>
        <v>0</v>
      </c>
      <c r="AF346" s="10"/>
      <c r="AG346" s="10"/>
      <c r="AH346" s="10"/>
      <c r="AI346" s="10"/>
    </row>
    <row r="347" ht="30.0" customHeight="1">
      <c r="A347" s="7">
        <v>345.0</v>
      </c>
      <c r="B347" s="7">
        <v>4.0124794E7</v>
      </c>
      <c r="C347" s="7">
        <v>23.0</v>
      </c>
      <c r="D347" s="7">
        <v>10.0</v>
      </c>
      <c r="E347" s="8" t="s">
        <v>649</v>
      </c>
      <c r="F347" s="9" t="s">
        <v>650</v>
      </c>
      <c r="G347" s="7" t="s">
        <v>44</v>
      </c>
      <c r="H347" s="7">
        <v>2000.0</v>
      </c>
      <c r="I347" s="7">
        <v>200.0</v>
      </c>
      <c r="J347" s="7">
        <f t="shared" si="1"/>
        <v>2000</v>
      </c>
      <c r="K347" s="7">
        <v>200.0</v>
      </c>
      <c r="L347" s="7"/>
      <c r="M347" s="7">
        <f t="shared" si="2"/>
        <v>200</v>
      </c>
      <c r="N347" s="7">
        <v>1200.0</v>
      </c>
      <c r="O347" s="7"/>
      <c r="P347" s="7">
        <f t="shared" si="3"/>
        <v>1200</v>
      </c>
      <c r="Q347" s="7">
        <v>200.0</v>
      </c>
      <c r="R347" s="7"/>
      <c r="S347" s="7">
        <f t="shared" si="4"/>
        <v>200</v>
      </c>
      <c r="T347" s="7">
        <v>100.0</v>
      </c>
      <c r="U347" s="7"/>
      <c r="V347" s="7">
        <f t="shared" si="5"/>
        <v>100</v>
      </c>
      <c r="W347" s="7">
        <v>100.0</v>
      </c>
      <c r="X347" s="7"/>
      <c r="Y347" s="7">
        <f t="shared" si="6"/>
        <v>100</v>
      </c>
      <c r="Z347" s="7">
        <v>200.0</v>
      </c>
      <c r="AA347" s="7"/>
      <c r="AB347" s="7">
        <f t="shared" si="7"/>
        <v>200</v>
      </c>
      <c r="AC347" s="7">
        <v>0.0</v>
      </c>
      <c r="AD347" s="7"/>
      <c r="AE347" s="7">
        <f t="shared" si="8"/>
        <v>0</v>
      </c>
      <c r="AF347" s="10"/>
      <c r="AG347" s="10"/>
      <c r="AH347" s="10"/>
      <c r="AI347" s="10"/>
    </row>
    <row r="348" ht="30.0" customHeight="1">
      <c r="A348" s="7">
        <v>346.0</v>
      </c>
      <c r="B348" s="7">
        <v>4.0077688E7</v>
      </c>
      <c r="C348" s="7">
        <v>23.0</v>
      </c>
      <c r="D348" s="7">
        <v>10.0</v>
      </c>
      <c r="E348" s="8" t="s">
        <v>651</v>
      </c>
      <c r="F348" s="9" t="s">
        <v>652</v>
      </c>
      <c r="G348" s="7" t="s">
        <v>44</v>
      </c>
      <c r="H348" s="7">
        <v>200.0</v>
      </c>
      <c r="I348" s="7">
        <v>100.0</v>
      </c>
      <c r="J348" s="7">
        <f t="shared" si="1"/>
        <v>175</v>
      </c>
      <c r="K348" s="7">
        <v>0.0</v>
      </c>
      <c r="L348" s="7"/>
      <c r="M348" s="7">
        <f t="shared" si="2"/>
        <v>0</v>
      </c>
      <c r="N348" s="7">
        <v>100.0</v>
      </c>
      <c r="O348" s="7"/>
      <c r="P348" s="7">
        <f t="shared" si="3"/>
        <v>100</v>
      </c>
      <c r="Q348" s="7">
        <v>0.0</v>
      </c>
      <c r="R348" s="7"/>
      <c r="S348" s="7">
        <f t="shared" si="4"/>
        <v>0</v>
      </c>
      <c r="T348" s="7">
        <v>25.0</v>
      </c>
      <c r="U348" s="7"/>
      <c r="V348" s="7">
        <f t="shared" si="5"/>
        <v>25</v>
      </c>
      <c r="W348" s="7">
        <v>25.0</v>
      </c>
      <c r="X348" s="7"/>
      <c r="Y348" s="7">
        <f t="shared" si="6"/>
        <v>25</v>
      </c>
      <c r="Z348" s="7">
        <v>25.0</v>
      </c>
      <c r="AA348" s="7"/>
      <c r="AB348" s="7">
        <f t="shared" si="7"/>
        <v>25</v>
      </c>
      <c r="AC348" s="7">
        <v>0.0</v>
      </c>
      <c r="AD348" s="7"/>
      <c r="AE348" s="7">
        <f t="shared" si="8"/>
        <v>0</v>
      </c>
      <c r="AF348" s="10"/>
      <c r="AG348" s="10"/>
      <c r="AH348" s="10"/>
      <c r="AI348" s="10"/>
    </row>
    <row r="349" ht="30.0" customHeight="1">
      <c r="A349" s="7">
        <v>347.0</v>
      </c>
      <c r="B349" s="7">
        <v>4.0077676E7</v>
      </c>
      <c r="C349" s="7">
        <v>23.0</v>
      </c>
      <c r="D349" s="7">
        <v>10.0</v>
      </c>
      <c r="E349" s="8" t="s">
        <v>653</v>
      </c>
      <c r="F349" s="9" t="s">
        <v>654</v>
      </c>
      <c r="G349" s="7" t="s">
        <v>44</v>
      </c>
      <c r="H349" s="7">
        <v>800.0</v>
      </c>
      <c r="I349" s="7">
        <v>800.0</v>
      </c>
      <c r="J349" s="7">
        <f t="shared" si="1"/>
        <v>800</v>
      </c>
      <c r="K349" s="7">
        <v>0.0</v>
      </c>
      <c r="L349" s="7"/>
      <c r="M349" s="7">
        <f t="shared" si="2"/>
        <v>0</v>
      </c>
      <c r="N349" s="7">
        <v>800.0</v>
      </c>
      <c r="O349" s="7"/>
      <c r="P349" s="7">
        <f t="shared" si="3"/>
        <v>800</v>
      </c>
      <c r="Q349" s="7">
        <v>0.0</v>
      </c>
      <c r="R349" s="7"/>
      <c r="S349" s="7">
        <f t="shared" si="4"/>
        <v>0</v>
      </c>
      <c r="T349" s="7">
        <v>0.0</v>
      </c>
      <c r="U349" s="7"/>
      <c r="V349" s="7">
        <f t="shared" si="5"/>
        <v>0</v>
      </c>
      <c r="W349" s="7">
        <v>0.0</v>
      </c>
      <c r="X349" s="7"/>
      <c r="Y349" s="7">
        <f t="shared" si="6"/>
        <v>0</v>
      </c>
      <c r="Z349" s="7">
        <v>0.0</v>
      </c>
      <c r="AA349" s="7"/>
      <c r="AB349" s="7">
        <f t="shared" si="7"/>
        <v>0</v>
      </c>
      <c r="AC349" s="7">
        <v>0.0</v>
      </c>
      <c r="AD349" s="7"/>
      <c r="AE349" s="7">
        <f t="shared" si="8"/>
        <v>0</v>
      </c>
      <c r="AF349" s="10"/>
      <c r="AG349" s="10"/>
      <c r="AH349" s="10"/>
      <c r="AI349" s="10"/>
    </row>
    <row r="350" ht="30.0" customHeight="1">
      <c r="A350" s="7">
        <v>348.0</v>
      </c>
      <c r="B350" s="7">
        <v>4.0124782E7</v>
      </c>
      <c r="C350" s="7">
        <v>24.0</v>
      </c>
      <c r="D350" s="7">
        <v>70.0</v>
      </c>
      <c r="E350" s="8" t="s">
        <v>655</v>
      </c>
      <c r="F350" s="9" t="s">
        <v>656</v>
      </c>
      <c r="G350" s="7" t="s">
        <v>44</v>
      </c>
      <c r="H350" s="7">
        <v>300.0</v>
      </c>
      <c r="I350" s="7">
        <v>113.0</v>
      </c>
      <c r="J350" s="7">
        <f t="shared" si="1"/>
        <v>300</v>
      </c>
      <c r="K350" s="7">
        <v>100.0</v>
      </c>
      <c r="L350" s="7"/>
      <c r="M350" s="7">
        <f t="shared" si="2"/>
        <v>100</v>
      </c>
      <c r="N350" s="7">
        <v>200.0</v>
      </c>
      <c r="O350" s="7"/>
      <c r="P350" s="7">
        <f t="shared" si="3"/>
        <v>200</v>
      </c>
      <c r="Q350" s="7">
        <v>0.0</v>
      </c>
      <c r="R350" s="7"/>
      <c r="S350" s="7">
        <f t="shared" si="4"/>
        <v>0</v>
      </c>
      <c r="T350" s="7">
        <v>0.0</v>
      </c>
      <c r="U350" s="7"/>
      <c r="V350" s="7">
        <f t="shared" si="5"/>
        <v>0</v>
      </c>
      <c r="W350" s="7">
        <v>0.0</v>
      </c>
      <c r="X350" s="7"/>
      <c r="Y350" s="7">
        <f t="shared" si="6"/>
        <v>0</v>
      </c>
      <c r="Z350" s="7">
        <v>0.0</v>
      </c>
      <c r="AA350" s="7"/>
      <c r="AB350" s="7">
        <f t="shared" si="7"/>
        <v>0</v>
      </c>
      <c r="AC350" s="7">
        <v>0.0</v>
      </c>
      <c r="AD350" s="7"/>
      <c r="AE350" s="7">
        <f t="shared" si="8"/>
        <v>0</v>
      </c>
      <c r="AF350" s="10"/>
      <c r="AG350" s="10"/>
      <c r="AH350" s="10"/>
      <c r="AI350" s="10"/>
    </row>
    <row r="351" ht="30.0" customHeight="1">
      <c r="A351" s="7">
        <v>349.0</v>
      </c>
      <c r="B351" s="7">
        <v>4.0078243E7</v>
      </c>
      <c r="C351" s="7">
        <v>24.0</v>
      </c>
      <c r="D351" s="7">
        <v>70.0</v>
      </c>
      <c r="E351" s="8" t="s">
        <v>657</v>
      </c>
      <c r="F351" s="9" t="s">
        <v>658</v>
      </c>
      <c r="G351" s="7" t="s">
        <v>44</v>
      </c>
      <c r="H351" s="7">
        <v>6000.0</v>
      </c>
      <c r="I351" s="7">
        <v>5800.0</v>
      </c>
      <c r="J351" s="7">
        <f t="shared" si="1"/>
        <v>3800</v>
      </c>
      <c r="K351" s="7">
        <v>800.0</v>
      </c>
      <c r="L351" s="7"/>
      <c r="M351" s="7">
        <f t="shared" si="2"/>
        <v>800</v>
      </c>
      <c r="N351" s="7">
        <v>2600.0</v>
      </c>
      <c r="O351" s="7"/>
      <c r="P351" s="7">
        <f t="shared" si="3"/>
        <v>2600</v>
      </c>
      <c r="Q351" s="7">
        <v>400.0</v>
      </c>
      <c r="R351" s="7"/>
      <c r="S351" s="7">
        <f t="shared" si="4"/>
        <v>400</v>
      </c>
      <c r="T351" s="7">
        <v>0.0</v>
      </c>
      <c r="U351" s="7"/>
      <c r="V351" s="7">
        <f t="shared" si="5"/>
        <v>0</v>
      </c>
      <c r="W351" s="7">
        <v>0.0</v>
      </c>
      <c r="X351" s="7"/>
      <c r="Y351" s="7">
        <f t="shared" si="6"/>
        <v>0</v>
      </c>
      <c r="Z351" s="7">
        <v>0.0</v>
      </c>
      <c r="AA351" s="7"/>
      <c r="AB351" s="7">
        <f t="shared" si="7"/>
        <v>0</v>
      </c>
      <c r="AC351" s="7">
        <v>0.0</v>
      </c>
      <c r="AD351" s="7"/>
      <c r="AE351" s="7">
        <f t="shared" si="8"/>
        <v>0</v>
      </c>
      <c r="AF351" s="13"/>
      <c r="AG351" s="10"/>
      <c r="AH351" s="10"/>
      <c r="AI351" s="10"/>
    </row>
    <row r="352" ht="30.0" customHeight="1">
      <c r="A352" s="7">
        <v>350.0</v>
      </c>
      <c r="B352" s="7">
        <v>4.0078267E7</v>
      </c>
      <c r="C352" s="7">
        <v>24.0</v>
      </c>
      <c r="D352" s="7">
        <v>70.0</v>
      </c>
      <c r="E352" s="8" t="s">
        <v>659</v>
      </c>
      <c r="F352" s="9" t="s">
        <v>660</v>
      </c>
      <c r="G352" s="7" t="s">
        <v>44</v>
      </c>
      <c r="H352" s="7">
        <v>4000.0</v>
      </c>
      <c r="I352" s="7">
        <v>4100.0</v>
      </c>
      <c r="J352" s="7">
        <f t="shared" si="1"/>
        <v>3800</v>
      </c>
      <c r="K352" s="7">
        <v>800.0</v>
      </c>
      <c r="L352" s="7"/>
      <c r="M352" s="7">
        <f t="shared" si="2"/>
        <v>800</v>
      </c>
      <c r="N352" s="7">
        <v>2600.0</v>
      </c>
      <c r="O352" s="7"/>
      <c r="P352" s="7">
        <f t="shared" si="3"/>
        <v>2600</v>
      </c>
      <c r="Q352" s="7">
        <v>400.0</v>
      </c>
      <c r="R352" s="7"/>
      <c r="S352" s="7">
        <f t="shared" si="4"/>
        <v>400</v>
      </c>
      <c r="T352" s="7">
        <v>0.0</v>
      </c>
      <c r="U352" s="7"/>
      <c r="V352" s="7">
        <f t="shared" si="5"/>
        <v>0</v>
      </c>
      <c r="W352" s="7">
        <v>0.0</v>
      </c>
      <c r="X352" s="7"/>
      <c r="Y352" s="7">
        <f t="shared" si="6"/>
        <v>0</v>
      </c>
      <c r="Z352" s="7">
        <v>0.0</v>
      </c>
      <c r="AA352" s="7"/>
      <c r="AB352" s="7">
        <f t="shared" si="7"/>
        <v>0</v>
      </c>
      <c r="AC352" s="7">
        <v>0.0</v>
      </c>
      <c r="AD352" s="7"/>
      <c r="AE352" s="7">
        <f t="shared" si="8"/>
        <v>0</v>
      </c>
      <c r="AF352" s="10"/>
      <c r="AG352" s="10"/>
      <c r="AH352" s="10"/>
      <c r="AI352" s="10"/>
    </row>
    <row r="353" ht="30.0" customHeight="1">
      <c r="A353" s="7">
        <v>351.0</v>
      </c>
      <c r="B353" s="7">
        <v>4.0078255E7</v>
      </c>
      <c r="C353" s="7">
        <v>24.0</v>
      </c>
      <c r="D353" s="7">
        <v>70.0</v>
      </c>
      <c r="E353" s="8" t="s">
        <v>661</v>
      </c>
      <c r="F353" s="9" t="s">
        <v>662</v>
      </c>
      <c r="G353" s="7" t="s">
        <v>44</v>
      </c>
      <c r="H353" s="7">
        <v>6000.0</v>
      </c>
      <c r="I353" s="7">
        <v>4760.0</v>
      </c>
      <c r="J353" s="7">
        <f t="shared" si="1"/>
        <v>3200</v>
      </c>
      <c r="K353" s="7">
        <v>800.0</v>
      </c>
      <c r="L353" s="7"/>
      <c r="M353" s="7">
        <f t="shared" si="2"/>
        <v>800</v>
      </c>
      <c r="N353" s="7">
        <v>1600.0</v>
      </c>
      <c r="O353" s="7"/>
      <c r="P353" s="7">
        <f t="shared" si="3"/>
        <v>1600</v>
      </c>
      <c r="Q353" s="7">
        <v>400.0</v>
      </c>
      <c r="R353" s="7"/>
      <c r="S353" s="7">
        <f t="shared" si="4"/>
        <v>400</v>
      </c>
      <c r="T353" s="7">
        <v>100.0</v>
      </c>
      <c r="U353" s="7"/>
      <c r="V353" s="7">
        <f t="shared" si="5"/>
        <v>100</v>
      </c>
      <c r="W353" s="7">
        <v>100.0</v>
      </c>
      <c r="X353" s="7"/>
      <c r="Y353" s="7">
        <f t="shared" si="6"/>
        <v>100</v>
      </c>
      <c r="Z353" s="7">
        <v>200.0</v>
      </c>
      <c r="AA353" s="7"/>
      <c r="AB353" s="7">
        <f t="shared" si="7"/>
        <v>200</v>
      </c>
      <c r="AC353" s="7">
        <v>0.0</v>
      </c>
      <c r="AD353" s="7"/>
      <c r="AE353" s="7">
        <f t="shared" si="8"/>
        <v>0</v>
      </c>
      <c r="AF353" s="10"/>
      <c r="AG353" s="10"/>
      <c r="AH353" s="10"/>
      <c r="AI353" s="10"/>
    </row>
    <row r="354" ht="30.0" customHeight="1">
      <c r="A354" s="7">
        <v>352.0</v>
      </c>
      <c r="B354" s="7">
        <v>4.0078176E7</v>
      </c>
      <c r="C354" s="7">
        <v>23.0</v>
      </c>
      <c r="D354" s="7">
        <v>70.0</v>
      </c>
      <c r="E354" s="8" t="s">
        <v>663</v>
      </c>
      <c r="F354" s="9" t="s">
        <v>664</v>
      </c>
      <c r="G354" s="7" t="s">
        <v>44</v>
      </c>
      <c r="H354" s="7">
        <v>9000.0</v>
      </c>
      <c r="I354" s="7">
        <v>1300.0</v>
      </c>
      <c r="J354" s="7">
        <f t="shared" si="1"/>
        <v>4600</v>
      </c>
      <c r="K354" s="7">
        <v>800.0</v>
      </c>
      <c r="L354" s="7"/>
      <c r="M354" s="7">
        <f t="shared" si="2"/>
        <v>800</v>
      </c>
      <c r="N354" s="7">
        <v>2000.0</v>
      </c>
      <c r="O354" s="7"/>
      <c r="P354" s="7">
        <f t="shared" si="3"/>
        <v>2000</v>
      </c>
      <c r="Q354" s="7">
        <v>1600.0</v>
      </c>
      <c r="R354" s="7"/>
      <c r="S354" s="7">
        <f t="shared" si="4"/>
        <v>1600</v>
      </c>
      <c r="T354" s="7">
        <v>0.0</v>
      </c>
      <c r="U354" s="7"/>
      <c r="V354" s="7">
        <f t="shared" si="5"/>
        <v>0</v>
      </c>
      <c r="W354" s="7">
        <v>0.0</v>
      </c>
      <c r="X354" s="7"/>
      <c r="Y354" s="7">
        <f t="shared" si="6"/>
        <v>0</v>
      </c>
      <c r="Z354" s="7">
        <v>200.0</v>
      </c>
      <c r="AA354" s="7"/>
      <c r="AB354" s="7">
        <f t="shared" si="7"/>
        <v>200</v>
      </c>
      <c r="AC354" s="7">
        <v>0.0</v>
      </c>
      <c r="AD354" s="7"/>
      <c r="AE354" s="7">
        <f t="shared" si="8"/>
        <v>0</v>
      </c>
      <c r="AF354" s="10"/>
      <c r="AG354" s="10"/>
      <c r="AH354" s="10"/>
      <c r="AI354" s="10"/>
    </row>
    <row r="355" ht="30.0" customHeight="1">
      <c r="A355" s="7">
        <v>353.0</v>
      </c>
      <c r="B355" s="7">
        <v>4.0078188E7</v>
      </c>
      <c r="C355" s="7">
        <v>24.0</v>
      </c>
      <c r="D355" s="7">
        <v>10.0</v>
      </c>
      <c r="E355" s="8" t="s">
        <v>665</v>
      </c>
      <c r="F355" s="9" t="s">
        <v>666</v>
      </c>
      <c r="G355" s="7" t="s">
        <v>44</v>
      </c>
      <c r="H355" s="7">
        <v>3000.0</v>
      </c>
      <c r="I355" s="7">
        <v>2830.0</v>
      </c>
      <c r="J355" s="7">
        <f t="shared" si="1"/>
        <v>3000</v>
      </c>
      <c r="K355" s="7">
        <v>900.0</v>
      </c>
      <c r="L355" s="7"/>
      <c r="M355" s="7">
        <f t="shared" si="2"/>
        <v>900</v>
      </c>
      <c r="N355" s="7">
        <v>900.0</v>
      </c>
      <c r="O355" s="7"/>
      <c r="P355" s="7">
        <f t="shared" si="3"/>
        <v>900</v>
      </c>
      <c r="Q355" s="7">
        <v>900.0</v>
      </c>
      <c r="R355" s="7"/>
      <c r="S355" s="7">
        <f t="shared" si="4"/>
        <v>900</v>
      </c>
      <c r="T355" s="7">
        <v>100.0</v>
      </c>
      <c r="U355" s="7"/>
      <c r="V355" s="7">
        <f t="shared" si="5"/>
        <v>100</v>
      </c>
      <c r="W355" s="7">
        <v>100.0</v>
      </c>
      <c r="X355" s="7"/>
      <c r="Y355" s="7">
        <f t="shared" si="6"/>
        <v>100</v>
      </c>
      <c r="Z355" s="7">
        <v>100.0</v>
      </c>
      <c r="AA355" s="7"/>
      <c r="AB355" s="7">
        <f t="shared" si="7"/>
        <v>100</v>
      </c>
      <c r="AC355" s="7">
        <v>0.0</v>
      </c>
      <c r="AD355" s="7"/>
      <c r="AE355" s="7">
        <f t="shared" si="8"/>
        <v>0</v>
      </c>
      <c r="AF355" s="10"/>
      <c r="AG355" s="10"/>
      <c r="AH355" s="10"/>
      <c r="AI355" s="10"/>
    </row>
    <row r="356" ht="30.0" customHeight="1">
      <c r="A356" s="7">
        <v>354.0</v>
      </c>
      <c r="B356" s="7">
        <v>4.007822E7</v>
      </c>
      <c r="C356" s="7">
        <v>24.0</v>
      </c>
      <c r="D356" s="7">
        <v>70.0</v>
      </c>
      <c r="E356" s="8" t="s">
        <v>667</v>
      </c>
      <c r="F356" s="9" t="s">
        <v>668</v>
      </c>
      <c r="G356" s="7" t="s">
        <v>44</v>
      </c>
      <c r="H356" s="7">
        <v>4500.0</v>
      </c>
      <c r="I356" s="7">
        <v>4292.0</v>
      </c>
      <c r="J356" s="7">
        <f t="shared" si="1"/>
        <v>2100</v>
      </c>
      <c r="K356" s="7">
        <v>500.0</v>
      </c>
      <c r="L356" s="7"/>
      <c r="M356" s="7">
        <f t="shared" si="2"/>
        <v>500</v>
      </c>
      <c r="N356" s="7">
        <v>800.0</v>
      </c>
      <c r="O356" s="7"/>
      <c r="P356" s="7">
        <f t="shared" si="3"/>
        <v>800</v>
      </c>
      <c r="Q356" s="7">
        <v>600.0</v>
      </c>
      <c r="R356" s="7"/>
      <c r="S356" s="7">
        <f t="shared" si="4"/>
        <v>600</v>
      </c>
      <c r="T356" s="7">
        <v>100.0</v>
      </c>
      <c r="U356" s="7"/>
      <c r="V356" s="7">
        <f t="shared" si="5"/>
        <v>100</v>
      </c>
      <c r="W356" s="7">
        <v>100.0</v>
      </c>
      <c r="X356" s="7"/>
      <c r="Y356" s="7">
        <f t="shared" si="6"/>
        <v>100</v>
      </c>
      <c r="Z356" s="7">
        <v>0.0</v>
      </c>
      <c r="AA356" s="7"/>
      <c r="AB356" s="7">
        <f t="shared" si="7"/>
        <v>0</v>
      </c>
      <c r="AC356" s="7">
        <v>0.0</v>
      </c>
      <c r="AD356" s="7"/>
      <c r="AE356" s="7">
        <f t="shared" si="8"/>
        <v>0</v>
      </c>
      <c r="AF356" s="10"/>
      <c r="AG356" s="10"/>
      <c r="AH356" s="10"/>
      <c r="AI356" s="10"/>
    </row>
    <row r="357" ht="30.0" customHeight="1">
      <c r="A357" s="7">
        <v>355.0</v>
      </c>
      <c r="B357" s="7">
        <v>4.007819E7</v>
      </c>
      <c r="C357" s="7">
        <v>24.0</v>
      </c>
      <c r="D357" s="7">
        <v>70.0</v>
      </c>
      <c r="E357" s="8" t="s">
        <v>669</v>
      </c>
      <c r="F357" s="9" t="s">
        <v>670</v>
      </c>
      <c r="G357" s="7" t="s">
        <v>44</v>
      </c>
      <c r="H357" s="7">
        <v>500.0</v>
      </c>
      <c r="I357" s="7">
        <v>890.0</v>
      </c>
      <c r="J357" s="7">
        <f t="shared" si="1"/>
        <v>500</v>
      </c>
      <c r="K357" s="7">
        <v>200.0</v>
      </c>
      <c r="L357" s="7"/>
      <c r="M357" s="7">
        <f t="shared" si="2"/>
        <v>200</v>
      </c>
      <c r="N357" s="7">
        <v>300.0</v>
      </c>
      <c r="O357" s="7"/>
      <c r="P357" s="7">
        <f t="shared" si="3"/>
        <v>300</v>
      </c>
      <c r="Q357" s="7">
        <v>0.0</v>
      </c>
      <c r="R357" s="7"/>
      <c r="S357" s="7">
        <f t="shared" si="4"/>
        <v>0</v>
      </c>
      <c r="T357" s="7">
        <v>0.0</v>
      </c>
      <c r="U357" s="7"/>
      <c r="V357" s="7">
        <f t="shared" si="5"/>
        <v>0</v>
      </c>
      <c r="W357" s="7">
        <v>0.0</v>
      </c>
      <c r="X357" s="7"/>
      <c r="Y357" s="7">
        <f t="shared" si="6"/>
        <v>0</v>
      </c>
      <c r="Z357" s="7">
        <v>0.0</v>
      </c>
      <c r="AA357" s="7"/>
      <c r="AB357" s="7">
        <f t="shared" si="7"/>
        <v>0</v>
      </c>
      <c r="AC357" s="7">
        <v>0.0</v>
      </c>
      <c r="AD357" s="7"/>
      <c r="AE357" s="7">
        <f t="shared" si="8"/>
        <v>0</v>
      </c>
      <c r="AF357" s="10"/>
      <c r="AG357" s="10"/>
      <c r="AH357" s="10"/>
      <c r="AI357" s="10"/>
    </row>
    <row r="358" ht="30.0" customHeight="1">
      <c r="A358" s="7">
        <v>356.0</v>
      </c>
      <c r="B358" s="7">
        <v>4.0078164E7</v>
      </c>
      <c r="C358" s="7">
        <v>24.0</v>
      </c>
      <c r="D358" s="7">
        <v>70.0</v>
      </c>
      <c r="E358" s="8" t="s">
        <v>671</v>
      </c>
      <c r="F358" s="9" t="s">
        <v>672</v>
      </c>
      <c r="G358" s="7" t="s">
        <v>44</v>
      </c>
      <c r="H358" s="7">
        <v>800.0</v>
      </c>
      <c r="I358" s="7">
        <v>1100.0</v>
      </c>
      <c r="J358" s="7">
        <f t="shared" si="1"/>
        <v>800</v>
      </c>
      <c r="K358" s="7">
        <v>300.0</v>
      </c>
      <c r="L358" s="7"/>
      <c r="M358" s="7">
        <f t="shared" si="2"/>
        <v>300</v>
      </c>
      <c r="N358" s="7">
        <v>300.0</v>
      </c>
      <c r="O358" s="7"/>
      <c r="P358" s="7">
        <f t="shared" si="3"/>
        <v>300</v>
      </c>
      <c r="Q358" s="7">
        <v>200.0</v>
      </c>
      <c r="R358" s="7"/>
      <c r="S358" s="7">
        <f t="shared" si="4"/>
        <v>200</v>
      </c>
      <c r="T358" s="7">
        <v>0.0</v>
      </c>
      <c r="U358" s="7"/>
      <c r="V358" s="7">
        <f t="shared" si="5"/>
        <v>0</v>
      </c>
      <c r="W358" s="7">
        <v>0.0</v>
      </c>
      <c r="X358" s="7"/>
      <c r="Y358" s="7">
        <f t="shared" si="6"/>
        <v>0</v>
      </c>
      <c r="Z358" s="7">
        <v>0.0</v>
      </c>
      <c r="AA358" s="7"/>
      <c r="AB358" s="7">
        <f t="shared" si="7"/>
        <v>0</v>
      </c>
      <c r="AC358" s="7">
        <v>0.0</v>
      </c>
      <c r="AD358" s="7"/>
      <c r="AE358" s="7">
        <f t="shared" si="8"/>
        <v>0</v>
      </c>
      <c r="AF358" s="10"/>
      <c r="AG358" s="10"/>
      <c r="AH358" s="10"/>
      <c r="AI358" s="10"/>
    </row>
    <row r="359" ht="30.0" customHeight="1">
      <c r="A359" s="7">
        <v>357.0</v>
      </c>
      <c r="B359" s="7">
        <v>4.0078206E7</v>
      </c>
      <c r="C359" s="7">
        <v>24.0</v>
      </c>
      <c r="D359" s="7">
        <v>70.0</v>
      </c>
      <c r="E359" s="8" t="s">
        <v>673</v>
      </c>
      <c r="F359" s="9" t="s">
        <v>674</v>
      </c>
      <c r="G359" s="7" t="s">
        <v>44</v>
      </c>
      <c r="H359" s="7">
        <v>600.0</v>
      </c>
      <c r="I359" s="7">
        <v>1370.0</v>
      </c>
      <c r="J359" s="7">
        <f t="shared" si="1"/>
        <v>600</v>
      </c>
      <c r="K359" s="7">
        <v>200.0</v>
      </c>
      <c r="L359" s="7"/>
      <c r="M359" s="7">
        <f t="shared" si="2"/>
        <v>200</v>
      </c>
      <c r="N359" s="7">
        <v>300.0</v>
      </c>
      <c r="O359" s="7"/>
      <c r="P359" s="7">
        <f t="shared" si="3"/>
        <v>300</v>
      </c>
      <c r="Q359" s="7">
        <v>100.0</v>
      </c>
      <c r="R359" s="7"/>
      <c r="S359" s="7">
        <f t="shared" si="4"/>
        <v>100</v>
      </c>
      <c r="T359" s="7">
        <v>0.0</v>
      </c>
      <c r="U359" s="7"/>
      <c r="V359" s="7">
        <f t="shared" si="5"/>
        <v>0</v>
      </c>
      <c r="W359" s="7">
        <v>0.0</v>
      </c>
      <c r="X359" s="7"/>
      <c r="Y359" s="7">
        <f t="shared" si="6"/>
        <v>0</v>
      </c>
      <c r="Z359" s="7">
        <v>0.0</v>
      </c>
      <c r="AA359" s="7"/>
      <c r="AB359" s="7">
        <f t="shared" si="7"/>
        <v>0</v>
      </c>
      <c r="AC359" s="7">
        <v>0.0</v>
      </c>
      <c r="AD359" s="7"/>
      <c r="AE359" s="7">
        <f t="shared" si="8"/>
        <v>0</v>
      </c>
      <c r="AF359" s="10"/>
      <c r="AG359" s="10"/>
      <c r="AH359" s="10"/>
      <c r="AI359" s="10"/>
    </row>
    <row r="360" ht="30.0" customHeight="1">
      <c r="A360" s="7">
        <v>358.0</v>
      </c>
      <c r="B360" s="7">
        <v>4.0078218E7</v>
      </c>
      <c r="C360" s="7">
        <v>24.0</v>
      </c>
      <c r="D360" s="7">
        <v>70.0</v>
      </c>
      <c r="E360" s="8" t="s">
        <v>675</v>
      </c>
      <c r="F360" s="9" t="s">
        <v>676</v>
      </c>
      <c r="G360" s="7" t="s">
        <v>44</v>
      </c>
      <c r="H360" s="7">
        <v>1100.0</v>
      </c>
      <c r="I360" s="7">
        <v>2640.0</v>
      </c>
      <c r="J360" s="7">
        <f t="shared" si="1"/>
        <v>1100</v>
      </c>
      <c r="K360" s="7">
        <v>200.0</v>
      </c>
      <c r="L360" s="7"/>
      <c r="M360" s="7">
        <f t="shared" si="2"/>
        <v>200</v>
      </c>
      <c r="N360" s="7">
        <v>500.0</v>
      </c>
      <c r="O360" s="7"/>
      <c r="P360" s="7">
        <f t="shared" si="3"/>
        <v>500</v>
      </c>
      <c r="Q360" s="7">
        <v>400.0</v>
      </c>
      <c r="R360" s="7"/>
      <c r="S360" s="7">
        <f t="shared" si="4"/>
        <v>400</v>
      </c>
      <c r="T360" s="7">
        <v>0.0</v>
      </c>
      <c r="U360" s="7"/>
      <c r="V360" s="7">
        <f t="shared" si="5"/>
        <v>0</v>
      </c>
      <c r="W360" s="7">
        <v>0.0</v>
      </c>
      <c r="X360" s="7"/>
      <c r="Y360" s="7">
        <f t="shared" si="6"/>
        <v>0</v>
      </c>
      <c r="Z360" s="7">
        <v>0.0</v>
      </c>
      <c r="AA360" s="7"/>
      <c r="AB360" s="7">
        <f t="shared" si="7"/>
        <v>0</v>
      </c>
      <c r="AC360" s="7">
        <v>0.0</v>
      </c>
      <c r="AD360" s="7"/>
      <c r="AE360" s="7">
        <f t="shared" si="8"/>
        <v>0</v>
      </c>
      <c r="AF360" s="10"/>
      <c r="AG360" s="10"/>
      <c r="AH360" s="10"/>
      <c r="AI360" s="10"/>
    </row>
    <row r="361" ht="30.0" customHeight="1">
      <c r="A361" s="7">
        <v>359.0</v>
      </c>
      <c r="B361" s="7">
        <v>4.0078309E7</v>
      </c>
      <c r="C361" s="7">
        <v>24.0</v>
      </c>
      <c r="D361" s="7">
        <v>70.0</v>
      </c>
      <c r="E361" s="8" t="s">
        <v>677</v>
      </c>
      <c r="F361" s="9" t="s">
        <v>678</v>
      </c>
      <c r="G361" s="7" t="s">
        <v>44</v>
      </c>
      <c r="H361" s="7">
        <v>4000.0</v>
      </c>
      <c r="I361" s="7">
        <v>400.0</v>
      </c>
      <c r="J361" s="7">
        <f t="shared" si="1"/>
        <v>1300</v>
      </c>
      <c r="K361" s="7">
        <v>0.0</v>
      </c>
      <c r="L361" s="7"/>
      <c r="M361" s="7">
        <f t="shared" si="2"/>
        <v>0</v>
      </c>
      <c r="N361" s="7">
        <v>1200.0</v>
      </c>
      <c r="O361" s="7"/>
      <c r="P361" s="7">
        <f t="shared" si="3"/>
        <v>1200</v>
      </c>
      <c r="Q361" s="7">
        <v>0.0</v>
      </c>
      <c r="R361" s="7"/>
      <c r="S361" s="7">
        <f t="shared" si="4"/>
        <v>0</v>
      </c>
      <c r="T361" s="7">
        <v>0.0</v>
      </c>
      <c r="U361" s="7"/>
      <c r="V361" s="7">
        <f t="shared" si="5"/>
        <v>0</v>
      </c>
      <c r="W361" s="7">
        <v>0.0</v>
      </c>
      <c r="X361" s="7"/>
      <c r="Y361" s="7">
        <f t="shared" si="6"/>
        <v>0</v>
      </c>
      <c r="Z361" s="7">
        <v>100.0</v>
      </c>
      <c r="AA361" s="7"/>
      <c r="AB361" s="7">
        <f t="shared" si="7"/>
        <v>100</v>
      </c>
      <c r="AC361" s="7">
        <v>0.0</v>
      </c>
      <c r="AD361" s="7"/>
      <c r="AE361" s="7">
        <f t="shared" si="8"/>
        <v>0</v>
      </c>
      <c r="AF361" s="10"/>
      <c r="AG361" s="10"/>
      <c r="AH361" s="10"/>
      <c r="AI361" s="10"/>
    </row>
    <row r="362" ht="30.0" customHeight="1">
      <c r="A362" s="7">
        <v>360.0</v>
      </c>
      <c r="B362" s="7">
        <v>4.0078292E7</v>
      </c>
      <c r="C362" s="7">
        <v>23.0</v>
      </c>
      <c r="D362" s="7">
        <v>10.0</v>
      </c>
      <c r="E362" s="8" t="s">
        <v>679</v>
      </c>
      <c r="F362" s="9" t="s">
        <v>680</v>
      </c>
      <c r="G362" s="7" t="s">
        <v>44</v>
      </c>
      <c r="H362" s="7">
        <v>1200.0</v>
      </c>
      <c r="I362" s="7">
        <v>4000.0</v>
      </c>
      <c r="J362" s="7">
        <f t="shared" si="1"/>
        <v>1200</v>
      </c>
      <c r="K362" s="7">
        <v>400.0</v>
      </c>
      <c r="L362" s="7"/>
      <c r="M362" s="7">
        <f t="shared" si="2"/>
        <v>400</v>
      </c>
      <c r="N362" s="7">
        <v>400.0</v>
      </c>
      <c r="O362" s="7"/>
      <c r="P362" s="7">
        <f t="shared" si="3"/>
        <v>400</v>
      </c>
      <c r="Q362" s="7">
        <v>400.0</v>
      </c>
      <c r="R362" s="7"/>
      <c r="S362" s="7">
        <f t="shared" si="4"/>
        <v>400</v>
      </c>
      <c r="T362" s="7">
        <v>0.0</v>
      </c>
      <c r="U362" s="7"/>
      <c r="V362" s="7">
        <f t="shared" si="5"/>
        <v>0</v>
      </c>
      <c r="W362" s="7">
        <v>0.0</v>
      </c>
      <c r="X362" s="7"/>
      <c r="Y362" s="7">
        <f t="shared" si="6"/>
        <v>0</v>
      </c>
      <c r="Z362" s="7">
        <v>0.0</v>
      </c>
      <c r="AA362" s="7"/>
      <c r="AB362" s="7">
        <f t="shared" si="7"/>
        <v>0</v>
      </c>
      <c r="AC362" s="7">
        <v>0.0</v>
      </c>
      <c r="AD362" s="7"/>
      <c r="AE362" s="7">
        <f t="shared" si="8"/>
        <v>0</v>
      </c>
      <c r="AF362" s="10"/>
      <c r="AG362" s="10"/>
      <c r="AH362" s="10"/>
      <c r="AI362" s="10"/>
    </row>
    <row r="363" ht="30.0" customHeight="1">
      <c r="A363" s="7">
        <v>361.0</v>
      </c>
      <c r="B363" s="7">
        <v>4.0078231E7</v>
      </c>
      <c r="C363" s="7">
        <v>24.0</v>
      </c>
      <c r="D363" s="7">
        <v>70.0</v>
      </c>
      <c r="E363" s="8" t="s">
        <v>681</v>
      </c>
      <c r="F363" s="9" t="s">
        <v>682</v>
      </c>
      <c r="G363" s="7" t="s">
        <v>44</v>
      </c>
      <c r="H363" s="7">
        <v>600.0</v>
      </c>
      <c r="I363" s="7">
        <v>3300.0</v>
      </c>
      <c r="J363" s="7">
        <f t="shared" si="1"/>
        <v>600</v>
      </c>
      <c r="K363" s="7">
        <v>200.0</v>
      </c>
      <c r="L363" s="7"/>
      <c r="M363" s="7">
        <f t="shared" si="2"/>
        <v>200</v>
      </c>
      <c r="N363" s="7">
        <v>200.0</v>
      </c>
      <c r="O363" s="7"/>
      <c r="P363" s="7">
        <f t="shared" si="3"/>
        <v>200</v>
      </c>
      <c r="Q363" s="7">
        <v>200.0</v>
      </c>
      <c r="R363" s="7"/>
      <c r="S363" s="7">
        <f t="shared" si="4"/>
        <v>200</v>
      </c>
      <c r="T363" s="7">
        <v>0.0</v>
      </c>
      <c r="U363" s="7"/>
      <c r="V363" s="7">
        <f t="shared" si="5"/>
        <v>0</v>
      </c>
      <c r="W363" s="7">
        <v>0.0</v>
      </c>
      <c r="X363" s="7"/>
      <c r="Y363" s="7">
        <f t="shared" si="6"/>
        <v>0</v>
      </c>
      <c r="Z363" s="7">
        <v>0.0</v>
      </c>
      <c r="AA363" s="7"/>
      <c r="AB363" s="7">
        <f t="shared" si="7"/>
        <v>0</v>
      </c>
      <c r="AC363" s="7">
        <v>0.0</v>
      </c>
      <c r="AD363" s="7"/>
      <c r="AE363" s="7">
        <f t="shared" si="8"/>
        <v>0</v>
      </c>
      <c r="AF363" s="10"/>
      <c r="AG363" s="10"/>
      <c r="AH363" s="10"/>
      <c r="AI363" s="10"/>
    </row>
    <row r="364" ht="30.0" customHeight="1">
      <c r="A364" s="7">
        <v>362.0</v>
      </c>
      <c r="B364" s="7">
        <v>4.0078127E7</v>
      </c>
      <c r="C364" s="7">
        <v>24.0</v>
      </c>
      <c r="D364" s="7">
        <v>70.0</v>
      </c>
      <c r="E364" s="8" t="s">
        <v>683</v>
      </c>
      <c r="F364" s="9" t="s">
        <v>684</v>
      </c>
      <c r="G364" s="7" t="s">
        <v>44</v>
      </c>
      <c r="H364" s="7">
        <v>1000.0</v>
      </c>
      <c r="I364" s="7">
        <v>2000.0</v>
      </c>
      <c r="J364" s="7">
        <f t="shared" si="1"/>
        <v>400</v>
      </c>
      <c r="K364" s="7">
        <v>0.0</v>
      </c>
      <c r="L364" s="7"/>
      <c r="M364" s="7">
        <f t="shared" si="2"/>
        <v>0</v>
      </c>
      <c r="N364" s="7">
        <v>400.0</v>
      </c>
      <c r="O364" s="7"/>
      <c r="P364" s="7">
        <f t="shared" si="3"/>
        <v>400</v>
      </c>
      <c r="Q364" s="7">
        <v>0.0</v>
      </c>
      <c r="R364" s="7"/>
      <c r="S364" s="7">
        <f t="shared" si="4"/>
        <v>0</v>
      </c>
      <c r="T364" s="7">
        <v>0.0</v>
      </c>
      <c r="U364" s="7"/>
      <c r="V364" s="7">
        <f t="shared" si="5"/>
        <v>0</v>
      </c>
      <c r="W364" s="7">
        <v>0.0</v>
      </c>
      <c r="X364" s="7"/>
      <c r="Y364" s="7">
        <f t="shared" si="6"/>
        <v>0</v>
      </c>
      <c r="Z364" s="7">
        <v>0.0</v>
      </c>
      <c r="AA364" s="7"/>
      <c r="AB364" s="7">
        <f t="shared" si="7"/>
        <v>0</v>
      </c>
      <c r="AC364" s="7">
        <v>0.0</v>
      </c>
      <c r="AD364" s="7"/>
      <c r="AE364" s="7">
        <f t="shared" si="8"/>
        <v>0</v>
      </c>
      <c r="AF364" s="10"/>
      <c r="AG364" s="10"/>
      <c r="AH364" s="10"/>
      <c r="AI364" s="10"/>
    </row>
    <row r="365" ht="30.0" customHeight="1">
      <c r="A365" s="7">
        <v>363.0</v>
      </c>
      <c r="B365" s="7">
        <v>4.0078152E7</v>
      </c>
      <c r="C365" s="7">
        <v>24.0</v>
      </c>
      <c r="D365" s="7">
        <v>70.0</v>
      </c>
      <c r="E365" s="8" t="s">
        <v>685</v>
      </c>
      <c r="F365" s="9" t="s">
        <v>686</v>
      </c>
      <c r="G365" s="7" t="s">
        <v>44</v>
      </c>
      <c r="H365" s="7">
        <v>1500.0</v>
      </c>
      <c r="I365" s="7">
        <v>500.0</v>
      </c>
      <c r="J365" s="7">
        <f t="shared" si="1"/>
        <v>500</v>
      </c>
      <c r="K365" s="7">
        <v>0.0</v>
      </c>
      <c r="L365" s="7"/>
      <c r="M365" s="7">
        <f t="shared" si="2"/>
        <v>0</v>
      </c>
      <c r="N365" s="7">
        <v>400.0</v>
      </c>
      <c r="O365" s="7"/>
      <c r="P365" s="7">
        <f t="shared" si="3"/>
        <v>400</v>
      </c>
      <c r="Q365" s="7">
        <v>0.0</v>
      </c>
      <c r="R365" s="7"/>
      <c r="S365" s="7">
        <f t="shared" si="4"/>
        <v>0</v>
      </c>
      <c r="T365" s="7">
        <v>0.0</v>
      </c>
      <c r="U365" s="7"/>
      <c r="V365" s="7">
        <f t="shared" si="5"/>
        <v>0</v>
      </c>
      <c r="W365" s="7">
        <v>0.0</v>
      </c>
      <c r="X365" s="7"/>
      <c r="Y365" s="7">
        <f t="shared" si="6"/>
        <v>0</v>
      </c>
      <c r="Z365" s="7">
        <v>100.0</v>
      </c>
      <c r="AA365" s="7"/>
      <c r="AB365" s="7">
        <f t="shared" si="7"/>
        <v>100</v>
      </c>
      <c r="AC365" s="7">
        <v>0.0</v>
      </c>
      <c r="AD365" s="7"/>
      <c r="AE365" s="7">
        <f t="shared" si="8"/>
        <v>0</v>
      </c>
      <c r="AF365" s="10"/>
      <c r="AG365" s="10"/>
      <c r="AH365" s="10"/>
      <c r="AI365" s="10"/>
    </row>
    <row r="366" ht="30.0" customHeight="1">
      <c r="A366" s="7">
        <v>364.0</v>
      </c>
      <c r="B366" s="7">
        <v>4.0078322E7</v>
      </c>
      <c r="C366" s="7">
        <v>24.0</v>
      </c>
      <c r="D366" s="7">
        <v>70.0</v>
      </c>
      <c r="E366" s="8" t="s">
        <v>687</v>
      </c>
      <c r="F366" s="9" t="s">
        <v>688</v>
      </c>
      <c r="G366" s="7" t="s">
        <v>44</v>
      </c>
      <c r="H366" s="7">
        <v>1500.0</v>
      </c>
      <c r="I366" s="11">
        <v>0.0</v>
      </c>
      <c r="J366" s="7">
        <f t="shared" si="1"/>
        <v>400</v>
      </c>
      <c r="K366" s="7">
        <v>0.0</v>
      </c>
      <c r="L366" s="7"/>
      <c r="M366" s="7">
        <f t="shared" si="2"/>
        <v>0</v>
      </c>
      <c r="N366" s="7">
        <v>400.0</v>
      </c>
      <c r="O366" s="7"/>
      <c r="P366" s="7">
        <f t="shared" si="3"/>
        <v>400</v>
      </c>
      <c r="Q366" s="7">
        <v>0.0</v>
      </c>
      <c r="R366" s="7"/>
      <c r="S366" s="7">
        <f t="shared" si="4"/>
        <v>0</v>
      </c>
      <c r="T366" s="7">
        <v>0.0</v>
      </c>
      <c r="U366" s="7"/>
      <c r="V366" s="7">
        <f t="shared" si="5"/>
        <v>0</v>
      </c>
      <c r="W366" s="7">
        <v>0.0</v>
      </c>
      <c r="X366" s="7"/>
      <c r="Y366" s="7">
        <f t="shared" si="6"/>
        <v>0</v>
      </c>
      <c r="Z366" s="7">
        <v>0.0</v>
      </c>
      <c r="AA366" s="7"/>
      <c r="AB366" s="7">
        <f t="shared" si="7"/>
        <v>0</v>
      </c>
      <c r="AC366" s="7">
        <v>0.0</v>
      </c>
      <c r="AD366" s="7"/>
      <c r="AE366" s="7">
        <f t="shared" si="8"/>
        <v>0</v>
      </c>
      <c r="AF366" s="10"/>
      <c r="AG366" s="10"/>
      <c r="AH366" s="10"/>
      <c r="AI366" s="10"/>
    </row>
    <row r="367" ht="30.0" customHeight="1">
      <c r="A367" s="7">
        <v>365.0</v>
      </c>
      <c r="B367" s="7">
        <v>4.007831E7</v>
      </c>
      <c r="C367" s="7">
        <v>24.0</v>
      </c>
      <c r="D367" s="7">
        <v>70.0</v>
      </c>
      <c r="E367" s="8" t="s">
        <v>689</v>
      </c>
      <c r="F367" s="9" t="s">
        <v>690</v>
      </c>
      <c r="G367" s="7" t="s">
        <v>66</v>
      </c>
      <c r="H367" s="7">
        <v>8.0</v>
      </c>
      <c r="I367" s="7">
        <v>20.0</v>
      </c>
      <c r="J367" s="7">
        <f t="shared" si="1"/>
        <v>8</v>
      </c>
      <c r="K367" s="7">
        <v>2.0</v>
      </c>
      <c r="L367" s="7"/>
      <c r="M367" s="7">
        <f t="shared" si="2"/>
        <v>2</v>
      </c>
      <c r="N367" s="7">
        <v>4.0</v>
      </c>
      <c r="O367" s="7"/>
      <c r="P367" s="7">
        <f t="shared" si="3"/>
        <v>4</v>
      </c>
      <c r="Q367" s="7">
        <v>2.0</v>
      </c>
      <c r="R367" s="7"/>
      <c r="S367" s="7">
        <f t="shared" si="4"/>
        <v>2</v>
      </c>
      <c r="T367" s="7">
        <v>0.0</v>
      </c>
      <c r="U367" s="7"/>
      <c r="V367" s="7">
        <f t="shared" si="5"/>
        <v>0</v>
      </c>
      <c r="W367" s="7">
        <v>0.0</v>
      </c>
      <c r="X367" s="7"/>
      <c r="Y367" s="7">
        <f t="shared" si="6"/>
        <v>0</v>
      </c>
      <c r="Z367" s="7">
        <v>0.0</v>
      </c>
      <c r="AA367" s="7"/>
      <c r="AB367" s="7">
        <f t="shared" si="7"/>
        <v>0</v>
      </c>
      <c r="AC367" s="7">
        <v>0.0</v>
      </c>
      <c r="AD367" s="7"/>
      <c r="AE367" s="7">
        <f t="shared" si="8"/>
        <v>0</v>
      </c>
      <c r="AF367" s="17"/>
      <c r="AG367" s="10"/>
      <c r="AH367" s="10"/>
      <c r="AI367" s="10"/>
    </row>
    <row r="368" ht="30.0" customHeight="1">
      <c r="A368" s="7">
        <v>366.0</v>
      </c>
      <c r="B368" s="7">
        <v>4.0078279E7</v>
      </c>
      <c r="C368" s="7">
        <v>23.0</v>
      </c>
      <c r="D368" s="7">
        <v>10.0</v>
      </c>
      <c r="E368" s="8" t="s">
        <v>691</v>
      </c>
      <c r="F368" s="9" t="s">
        <v>692</v>
      </c>
      <c r="G368" s="7" t="s">
        <v>44</v>
      </c>
      <c r="H368" s="7">
        <v>1200.0</v>
      </c>
      <c r="I368" s="7">
        <v>7700.0</v>
      </c>
      <c r="J368" s="7">
        <f t="shared" si="1"/>
        <v>1200</v>
      </c>
      <c r="K368" s="7">
        <v>400.0</v>
      </c>
      <c r="L368" s="7"/>
      <c r="M368" s="7">
        <f t="shared" si="2"/>
        <v>400</v>
      </c>
      <c r="N368" s="7">
        <v>400.0</v>
      </c>
      <c r="O368" s="7"/>
      <c r="P368" s="7">
        <f t="shared" si="3"/>
        <v>400</v>
      </c>
      <c r="Q368" s="7">
        <v>400.0</v>
      </c>
      <c r="R368" s="7"/>
      <c r="S368" s="7">
        <f t="shared" si="4"/>
        <v>400</v>
      </c>
      <c r="T368" s="7">
        <v>0.0</v>
      </c>
      <c r="U368" s="7"/>
      <c r="V368" s="7">
        <f t="shared" si="5"/>
        <v>0</v>
      </c>
      <c r="W368" s="7">
        <v>0.0</v>
      </c>
      <c r="X368" s="7"/>
      <c r="Y368" s="7">
        <f t="shared" si="6"/>
        <v>0</v>
      </c>
      <c r="Z368" s="7">
        <v>0.0</v>
      </c>
      <c r="AA368" s="7"/>
      <c r="AB368" s="7">
        <f t="shared" si="7"/>
        <v>0</v>
      </c>
      <c r="AC368" s="7">
        <v>0.0</v>
      </c>
      <c r="AD368" s="7"/>
      <c r="AE368" s="7">
        <f t="shared" si="8"/>
        <v>0</v>
      </c>
      <c r="AF368" s="10"/>
      <c r="AG368" s="10"/>
      <c r="AH368" s="10"/>
      <c r="AI368" s="10"/>
    </row>
    <row r="369" ht="30.0" customHeight="1">
      <c r="A369" s="7">
        <v>367.0</v>
      </c>
      <c r="B369" s="7">
        <v>4.0078115E7</v>
      </c>
      <c r="C369" s="7">
        <v>24.0</v>
      </c>
      <c r="D369" s="7">
        <v>70.0</v>
      </c>
      <c r="E369" s="8" t="s">
        <v>693</v>
      </c>
      <c r="F369" s="9" t="s">
        <v>694</v>
      </c>
      <c r="G369" s="7" t="s">
        <v>44</v>
      </c>
      <c r="H369" s="7">
        <v>300.0</v>
      </c>
      <c r="I369" s="7">
        <v>300.0</v>
      </c>
      <c r="J369" s="7">
        <f t="shared" si="1"/>
        <v>300</v>
      </c>
      <c r="K369" s="7">
        <v>100.0</v>
      </c>
      <c r="L369" s="7"/>
      <c r="M369" s="7">
        <f t="shared" si="2"/>
        <v>100</v>
      </c>
      <c r="N369" s="7">
        <v>200.0</v>
      </c>
      <c r="O369" s="7"/>
      <c r="P369" s="7">
        <f t="shared" si="3"/>
        <v>200</v>
      </c>
      <c r="Q369" s="7">
        <v>0.0</v>
      </c>
      <c r="R369" s="7"/>
      <c r="S369" s="7">
        <f t="shared" si="4"/>
        <v>0</v>
      </c>
      <c r="T369" s="7">
        <v>0.0</v>
      </c>
      <c r="U369" s="7"/>
      <c r="V369" s="7">
        <f t="shared" si="5"/>
        <v>0</v>
      </c>
      <c r="W369" s="7">
        <v>0.0</v>
      </c>
      <c r="X369" s="7"/>
      <c r="Y369" s="7">
        <f t="shared" si="6"/>
        <v>0</v>
      </c>
      <c r="Z369" s="7">
        <v>0.0</v>
      </c>
      <c r="AA369" s="7"/>
      <c r="AB369" s="7">
        <f t="shared" si="7"/>
        <v>0</v>
      </c>
      <c r="AC369" s="7">
        <v>0.0</v>
      </c>
      <c r="AD369" s="7"/>
      <c r="AE369" s="7">
        <f t="shared" si="8"/>
        <v>0</v>
      </c>
      <c r="AF369" s="10"/>
      <c r="AG369" s="10"/>
      <c r="AH369" s="10"/>
      <c r="AI369" s="10"/>
    </row>
    <row r="370" ht="30.0" customHeight="1">
      <c r="A370" s="7">
        <v>368.0</v>
      </c>
      <c r="B370" s="7">
        <v>4.0077809E7</v>
      </c>
      <c r="C370" s="7">
        <v>24.0</v>
      </c>
      <c r="D370" s="7">
        <v>70.0</v>
      </c>
      <c r="E370" s="8" t="s">
        <v>695</v>
      </c>
      <c r="F370" s="9" t="s">
        <v>696</v>
      </c>
      <c r="G370" s="7" t="s">
        <v>44</v>
      </c>
      <c r="H370" s="7">
        <v>400.0</v>
      </c>
      <c r="I370" s="11">
        <v>0.0</v>
      </c>
      <c r="J370" s="7">
        <f t="shared" si="1"/>
        <v>400</v>
      </c>
      <c r="K370" s="7">
        <v>200.0</v>
      </c>
      <c r="L370" s="7"/>
      <c r="M370" s="7">
        <f t="shared" si="2"/>
        <v>200</v>
      </c>
      <c r="N370" s="7">
        <v>200.0</v>
      </c>
      <c r="O370" s="7"/>
      <c r="P370" s="7">
        <f t="shared" si="3"/>
        <v>200</v>
      </c>
      <c r="Q370" s="7">
        <v>0.0</v>
      </c>
      <c r="R370" s="7"/>
      <c r="S370" s="7">
        <f t="shared" si="4"/>
        <v>0</v>
      </c>
      <c r="T370" s="7">
        <v>0.0</v>
      </c>
      <c r="U370" s="7"/>
      <c r="V370" s="7">
        <f t="shared" si="5"/>
        <v>0</v>
      </c>
      <c r="W370" s="7">
        <v>0.0</v>
      </c>
      <c r="X370" s="7"/>
      <c r="Y370" s="7">
        <f t="shared" si="6"/>
        <v>0</v>
      </c>
      <c r="Z370" s="7">
        <v>0.0</v>
      </c>
      <c r="AA370" s="7"/>
      <c r="AB370" s="7">
        <f t="shared" si="7"/>
        <v>0</v>
      </c>
      <c r="AC370" s="7">
        <v>0.0</v>
      </c>
      <c r="AD370" s="7"/>
      <c r="AE370" s="7">
        <f t="shared" si="8"/>
        <v>0</v>
      </c>
      <c r="AF370" s="10"/>
      <c r="AG370" s="10"/>
      <c r="AH370" s="10"/>
      <c r="AI370" s="10"/>
    </row>
    <row r="371" ht="30.0" customHeight="1">
      <c r="A371" s="7">
        <v>369.0</v>
      </c>
      <c r="B371" s="7">
        <v>4.007814E7</v>
      </c>
      <c r="C371" s="7">
        <v>24.0</v>
      </c>
      <c r="D371" s="7">
        <v>70.0</v>
      </c>
      <c r="E371" s="8" t="s">
        <v>697</v>
      </c>
      <c r="F371" s="9" t="s">
        <v>698</v>
      </c>
      <c r="G371" s="7" t="s">
        <v>44</v>
      </c>
      <c r="H371" s="7">
        <v>600.0</v>
      </c>
      <c r="I371" s="7">
        <v>300.0</v>
      </c>
      <c r="J371" s="7">
        <f t="shared" si="1"/>
        <v>600</v>
      </c>
      <c r="K371" s="7">
        <v>300.0</v>
      </c>
      <c r="L371" s="7"/>
      <c r="M371" s="7">
        <f t="shared" si="2"/>
        <v>300</v>
      </c>
      <c r="N371" s="7">
        <v>300.0</v>
      </c>
      <c r="O371" s="7"/>
      <c r="P371" s="7">
        <f t="shared" si="3"/>
        <v>300</v>
      </c>
      <c r="Q371" s="7">
        <v>0.0</v>
      </c>
      <c r="R371" s="7"/>
      <c r="S371" s="7">
        <f t="shared" si="4"/>
        <v>0</v>
      </c>
      <c r="T371" s="7">
        <v>0.0</v>
      </c>
      <c r="U371" s="7"/>
      <c r="V371" s="7">
        <f t="shared" si="5"/>
        <v>0</v>
      </c>
      <c r="W371" s="7">
        <v>0.0</v>
      </c>
      <c r="X371" s="7"/>
      <c r="Y371" s="7">
        <f t="shared" si="6"/>
        <v>0</v>
      </c>
      <c r="Z371" s="7">
        <v>0.0</v>
      </c>
      <c r="AA371" s="7"/>
      <c r="AB371" s="7">
        <f t="shared" si="7"/>
        <v>0</v>
      </c>
      <c r="AC371" s="7">
        <v>0.0</v>
      </c>
      <c r="AD371" s="7"/>
      <c r="AE371" s="7">
        <f t="shared" si="8"/>
        <v>0</v>
      </c>
      <c r="AF371" s="10"/>
      <c r="AG371" s="10"/>
      <c r="AH371" s="10"/>
      <c r="AI371" s="10"/>
    </row>
    <row r="372" ht="30.0" customHeight="1">
      <c r="A372" s="7">
        <v>370.0</v>
      </c>
      <c r="B372" s="7">
        <v>4.0050178E7</v>
      </c>
      <c r="C372" s="7">
        <v>23.0</v>
      </c>
      <c r="D372" s="7">
        <v>70.0</v>
      </c>
      <c r="E372" s="8" t="s">
        <v>699</v>
      </c>
      <c r="F372" s="9" t="s">
        <v>700</v>
      </c>
      <c r="G372" s="7" t="s">
        <v>44</v>
      </c>
      <c r="H372" s="7">
        <v>200.0</v>
      </c>
      <c r="I372" s="7">
        <v>200.0</v>
      </c>
      <c r="J372" s="7">
        <f t="shared" si="1"/>
        <v>150</v>
      </c>
      <c r="K372" s="7">
        <v>100.0</v>
      </c>
      <c r="L372" s="7"/>
      <c r="M372" s="7">
        <f t="shared" si="2"/>
        <v>100</v>
      </c>
      <c r="N372" s="12">
        <v>50.0</v>
      </c>
      <c r="O372" s="7"/>
      <c r="P372" s="7">
        <f t="shared" si="3"/>
        <v>50</v>
      </c>
      <c r="Q372" s="7">
        <v>0.0</v>
      </c>
      <c r="R372" s="7"/>
      <c r="S372" s="7">
        <f t="shared" si="4"/>
        <v>0</v>
      </c>
      <c r="T372" s="7">
        <v>0.0</v>
      </c>
      <c r="U372" s="7"/>
      <c r="V372" s="7">
        <f t="shared" si="5"/>
        <v>0</v>
      </c>
      <c r="W372" s="7">
        <v>0.0</v>
      </c>
      <c r="X372" s="7"/>
      <c r="Y372" s="7">
        <f t="shared" si="6"/>
        <v>0</v>
      </c>
      <c r="Z372" s="7">
        <v>0.0</v>
      </c>
      <c r="AA372" s="7"/>
      <c r="AB372" s="7">
        <f t="shared" si="7"/>
        <v>0</v>
      </c>
      <c r="AC372" s="7">
        <v>0.0</v>
      </c>
      <c r="AD372" s="7"/>
      <c r="AE372" s="7">
        <f t="shared" si="8"/>
        <v>0</v>
      </c>
      <c r="AF372" s="11">
        <v>0.0</v>
      </c>
      <c r="AG372" s="7">
        <v>100.0</v>
      </c>
      <c r="AH372" s="7">
        <v>100.0</v>
      </c>
      <c r="AI372" s="11">
        <v>0.0</v>
      </c>
    </row>
    <row r="373" ht="30.0" customHeight="1">
      <c r="A373" s="7">
        <v>371.0</v>
      </c>
      <c r="B373" s="7">
        <v>4.007781E7</v>
      </c>
      <c r="C373" s="7">
        <v>24.0</v>
      </c>
      <c r="D373" s="7">
        <v>70.0</v>
      </c>
      <c r="E373" s="8" t="s">
        <v>701</v>
      </c>
      <c r="F373" s="9" t="s">
        <v>702</v>
      </c>
      <c r="G373" s="7" t="s">
        <v>44</v>
      </c>
      <c r="H373" s="7">
        <v>400.0</v>
      </c>
      <c r="I373" s="11">
        <v>0.0</v>
      </c>
      <c r="J373" s="7">
        <f t="shared" si="1"/>
        <v>400</v>
      </c>
      <c r="K373" s="7">
        <v>200.0</v>
      </c>
      <c r="L373" s="7"/>
      <c r="M373" s="7">
        <f t="shared" si="2"/>
        <v>200</v>
      </c>
      <c r="N373" s="7">
        <v>200.0</v>
      </c>
      <c r="O373" s="7"/>
      <c r="P373" s="7">
        <f t="shared" si="3"/>
        <v>200</v>
      </c>
      <c r="Q373" s="7">
        <v>0.0</v>
      </c>
      <c r="R373" s="7"/>
      <c r="S373" s="7">
        <f t="shared" si="4"/>
        <v>0</v>
      </c>
      <c r="T373" s="7">
        <v>0.0</v>
      </c>
      <c r="U373" s="7"/>
      <c r="V373" s="7">
        <f t="shared" si="5"/>
        <v>0</v>
      </c>
      <c r="W373" s="7">
        <v>0.0</v>
      </c>
      <c r="X373" s="7"/>
      <c r="Y373" s="7">
        <f t="shared" si="6"/>
        <v>0</v>
      </c>
      <c r="Z373" s="7">
        <v>0.0</v>
      </c>
      <c r="AA373" s="7"/>
      <c r="AB373" s="7">
        <f t="shared" si="7"/>
        <v>0</v>
      </c>
      <c r="AC373" s="7">
        <v>0.0</v>
      </c>
      <c r="AD373" s="7"/>
      <c r="AE373" s="7">
        <f t="shared" si="8"/>
        <v>0</v>
      </c>
      <c r="AF373" s="10"/>
      <c r="AG373" s="10"/>
      <c r="AH373" s="10"/>
      <c r="AI373" s="10"/>
    </row>
    <row r="374" ht="30.0" customHeight="1">
      <c r="A374" s="7">
        <v>372.0</v>
      </c>
      <c r="B374" s="7">
        <v>4.0078E7</v>
      </c>
      <c r="C374" s="7">
        <v>24.0</v>
      </c>
      <c r="D374" s="7">
        <v>70.0</v>
      </c>
      <c r="E374" s="8" t="s">
        <v>703</v>
      </c>
      <c r="F374" s="9" t="s">
        <v>704</v>
      </c>
      <c r="G374" s="7" t="s">
        <v>44</v>
      </c>
      <c r="H374" s="7">
        <v>400.0</v>
      </c>
      <c r="I374" s="11">
        <v>0.0</v>
      </c>
      <c r="J374" s="7">
        <f t="shared" si="1"/>
        <v>400</v>
      </c>
      <c r="K374" s="7">
        <v>200.0</v>
      </c>
      <c r="L374" s="7"/>
      <c r="M374" s="7">
        <f t="shared" si="2"/>
        <v>200</v>
      </c>
      <c r="N374" s="7">
        <v>200.0</v>
      </c>
      <c r="O374" s="7"/>
      <c r="P374" s="7">
        <f t="shared" si="3"/>
        <v>200</v>
      </c>
      <c r="Q374" s="7">
        <v>0.0</v>
      </c>
      <c r="R374" s="7"/>
      <c r="S374" s="7">
        <f t="shared" si="4"/>
        <v>0</v>
      </c>
      <c r="T374" s="7">
        <v>0.0</v>
      </c>
      <c r="U374" s="7"/>
      <c r="V374" s="7">
        <f t="shared" si="5"/>
        <v>0</v>
      </c>
      <c r="W374" s="7">
        <v>0.0</v>
      </c>
      <c r="X374" s="7"/>
      <c r="Y374" s="7">
        <f t="shared" si="6"/>
        <v>0</v>
      </c>
      <c r="Z374" s="7">
        <v>0.0</v>
      </c>
      <c r="AA374" s="7"/>
      <c r="AB374" s="7">
        <f t="shared" si="7"/>
        <v>0</v>
      </c>
      <c r="AC374" s="7">
        <v>0.0</v>
      </c>
      <c r="AD374" s="7"/>
      <c r="AE374" s="7">
        <f t="shared" si="8"/>
        <v>0</v>
      </c>
      <c r="AF374" s="10"/>
      <c r="AG374" s="10"/>
      <c r="AH374" s="10"/>
      <c r="AI374" s="10"/>
    </row>
    <row r="375" ht="15.75" customHeight="1">
      <c r="A375" s="17"/>
      <c r="B375" s="17"/>
      <c r="C375" s="17"/>
      <c r="D375" s="17"/>
      <c r="E375" s="18"/>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row>
    <row r="376" ht="15.75" customHeight="1">
      <c r="A376" s="17"/>
      <c r="B376" s="17"/>
      <c r="C376" s="17"/>
      <c r="D376" s="17"/>
      <c r="E376" s="18"/>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row>
    <row r="377" ht="15.75" customHeight="1">
      <c r="A377" s="17"/>
      <c r="B377" s="17"/>
      <c r="C377" s="17"/>
      <c r="D377" s="17"/>
      <c r="E377" s="18"/>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row>
    <row r="378" ht="15.75" customHeight="1">
      <c r="A378" s="17"/>
      <c r="B378" s="17"/>
      <c r="C378" s="17"/>
      <c r="D378" s="17"/>
      <c r="E378" s="18"/>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row>
    <row r="379" ht="15.75" customHeight="1">
      <c r="A379" s="17"/>
      <c r="B379" s="17"/>
      <c r="C379" s="17"/>
      <c r="D379" s="17"/>
      <c r="E379" s="18"/>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row>
    <row r="380" ht="15.75" customHeight="1">
      <c r="A380" s="17"/>
      <c r="B380" s="17"/>
      <c r="C380" s="17"/>
      <c r="D380" s="17"/>
      <c r="E380" s="18"/>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row>
    <row r="381" ht="15.75" customHeight="1">
      <c r="A381" s="17"/>
      <c r="B381" s="17"/>
      <c r="C381" s="17"/>
      <c r="D381" s="17"/>
      <c r="E381" s="18"/>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row>
    <row r="382" ht="15.75" customHeight="1">
      <c r="A382" s="17"/>
      <c r="B382" s="17"/>
      <c r="C382" s="17"/>
      <c r="D382" s="17"/>
      <c r="E382" s="18"/>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row>
    <row r="383" ht="15.75" customHeight="1">
      <c r="A383" s="17"/>
      <c r="B383" s="17"/>
      <c r="C383" s="17"/>
      <c r="D383" s="17"/>
      <c r="E383" s="18"/>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row>
    <row r="384" ht="15.75" customHeight="1">
      <c r="A384" s="17"/>
      <c r="B384" s="17"/>
      <c r="C384" s="17"/>
      <c r="D384" s="17"/>
      <c r="E384" s="18"/>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row>
    <row r="385" ht="15.75" customHeight="1">
      <c r="A385" s="17"/>
      <c r="B385" s="17"/>
      <c r="C385" s="17"/>
      <c r="D385" s="17"/>
      <c r="E385" s="18"/>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row>
    <row r="386" ht="15.75" customHeight="1">
      <c r="A386" s="17"/>
      <c r="B386" s="17"/>
      <c r="C386" s="17"/>
      <c r="D386" s="17"/>
      <c r="E386" s="18"/>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row>
    <row r="387" ht="15.75" customHeight="1">
      <c r="A387" s="17"/>
      <c r="B387" s="17"/>
      <c r="C387" s="17"/>
      <c r="D387" s="17"/>
      <c r="E387" s="18"/>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row>
    <row r="388" ht="15.75" customHeight="1">
      <c r="A388" s="17"/>
      <c r="B388" s="17"/>
      <c r="C388" s="17"/>
      <c r="D388" s="17"/>
      <c r="E388" s="18"/>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row>
    <row r="389" ht="15.75" customHeight="1">
      <c r="A389" s="17"/>
      <c r="B389" s="17"/>
      <c r="C389" s="17"/>
      <c r="D389" s="17"/>
      <c r="E389" s="18"/>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row>
    <row r="390" ht="15.75" customHeight="1">
      <c r="A390" s="17"/>
      <c r="B390" s="17"/>
      <c r="C390" s="17"/>
      <c r="D390" s="17"/>
      <c r="E390" s="18"/>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row>
    <row r="391" ht="15.75" customHeight="1">
      <c r="A391" s="17"/>
      <c r="B391" s="17"/>
      <c r="C391" s="17"/>
      <c r="D391" s="17"/>
      <c r="E391" s="18"/>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row>
    <row r="392" ht="15.75" customHeight="1">
      <c r="A392" s="17"/>
      <c r="B392" s="17"/>
      <c r="C392" s="17"/>
      <c r="D392" s="17"/>
      <c r="E392" s="18"/>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row>
    <row r="393" ht="15.75" customHeight="1">
      <c r="A393" s="17"/>
      <c r="B393" s="17"/>
      <c r="C393" s="17"/>
      <c r="D393" s="17"/>
      <c r="E393" s="18"/>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row>
    <row r="394" ht="15.75" customHeight="1">
      <c r="A394" s="17"/>
      <c r="B394" s="17"/>
      <c r="C394" s="17"/>
      <c r="D394" s="17"/>
      <c r="E394" s="18"/>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row>
    <row r="395" ht="15.75" customHeight="1">
      <c r="A395" s="17"/>
      <c r="B395" s="17"/>
      <c r="C395" s="17"/>
      <c r="D395" s="17"/>
      <c r="E395" s="18"/>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row>
    <row r="396" ht="15.75" customHeight="1">
      <c r="A396" s="17"/>
      <c r="B396" s="17"/>
      <c r="C396" s="17"/>
      <c r="D396" s="17"/>
      <c r="E396" s="18"/>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row>
    <row r="397" ht="15.75" customHeight="1">
      <c r="A397" s="17"/>
      <c r="B397" s="17"/>
      <c r="C397" s="17"/>
      <c r="D397" s="17"/>
      <c r="E397" s="18"/>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row>
    <row r="398" ht="15.75" customHeight="1">
      <c r="A398" s="17"/>
      <c r="B398" s="17"/>
      <c r="C398" s="17"/>
      <c r="D398" s="17"/>
      <c r="E398" s="18"/>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row>
    <row r="399" ht="15.75" customHeight="1">
      <c r="A399" s="17"/>
      <c r="B399" s="17"/>
      <c r="C399" s="17"/>
      <c r="D399" s="17"/>
      <c r="E399" s="18"/>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row>
    <row r="400" ht="15.75" customHeight="1">
      <c r="A400" s="17"/>
      <c r="B400" s="17"/>
      <c r="C400" s="17"/>
      <c r="D400" s="17"/>
      <c r="E400" s="18"/>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row>
    <row r="401" ht="15.75" customHeight="1">
      <c r="A401" s="17"/>
      <c r="B401" s="17"/>
      <c r="C401" s="17"/>
      <c r="D401" s="17"/>
      <c r="E401" s="18"/>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row>
    <row r="402" ht="15.75" customHeight="1">
      <c r="A402" s="17"/>
      <c r="B402" s="17"/>
      <c r="C402" s="17"/>
      <c r="D402" s="17"/>
      <c r="E402" s="18"/>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row>
    <row r="403" ht="15.75" customHeight="1">
      <c r="A403" s="17"/>
      <c r="B403" s="17"/>
      <c r="C403" s="17"/>
      <c r="D403" s="17"/>
      <c r="E403" s="18"/>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row>
    <row r="404" ht="15.75" customHeight="1">
      <c r="A404" s="17"/>
      <c r="B404" s="17"/>
      <c r="C404" s="17"/>
      <c r="D404" s="17"/>
      <c r="E404" s="18"/>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row>
    <row r="405" ht="15.75" customHeight="1">
      <c r="A405" s="17"/>
      <c r="B405" s="17"/>
      <c r="C405" s="17"/>
      <c r="D405" s="17"/>
      <c r="E405" s="18"/>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row>
    <row r="406" ht="15.75" customHeight="1">
      <c r="A406" s="17"/>
      <c r="B406" s="17"/>
      <c r="C406" s="17"/>
      <c r="D406" s="17"/>
      <c r="E406" s="18"/>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row>
    <row r="407" ht="15.75" customHeight="1">
      <c r="A407" s="17"/>
      <c r="B407" s="17"/>
      <c r="C407" s="17"/>
      <c r="D407" s="17"/>
      <c r="E407" s="18"/>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row>
    <row r="408" ht="15.75" customHeight="1">
      <c r="A408" s="17"/>
      <c r="B408" s="17"/>
      <c r="C408" s="17"/>
      <c r="D408" s="17"/>
      <c r="E408" s="18"/>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row>
    <row r="409" ht="15.75" customHeight="1">
      <c r="A409" s="17"/>
      <c r="B409" s="17"/>
      <c r="C409" s="17"/>
      <c r="D409" s="17"/>
      <c r="E409" s="18"/>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row>
    <row r="410" ht="15.75" customHeight="1">
      <c r="A410" s="17"/>
      <c r="B410" s="17"/>
      <c r="C410" s="17"/>
      <c r="D410" s="17"/>
      <c r="E410" s="18"/>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row>
    <row r="411" ht="15.75" customHeight="1">
      <c r="A411" s="17"/>
      <c r="B411" s="17"/>
      <c r="C411" s="17"/>
      <c r="D411" s="17"/>
      <c r="E411" s="18"/>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row>
    <row r="412" ht="15.75" customHeight="1">
      <c r="A412" s="17"/>
      <c r="B412" s="17"/>
      <c r="C412" s="17"/>
      <c r="D412" s="17"/>
      <c r="E412" s="18"/>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row>
    <row r="413" ht="15.75" customHeight="1">
      <c r="A413" s="17"/>
      <c r="B413" s="17"/>
      <c r="C413" s="17"/>
      <c r="D413" s="17"/>
      <c r="E413" s="18"/>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row>
    <row r="414" ht="15.75" customHeight="1">
      <c r="A414" s="17"/>
      <c r="B414" s="17"/>
      <c r="C414" s="17"/>
      <c r="D414" s="17"/>
      <c r="E414" s="18"/>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row>
    <row r="415" ht="15.75" customHeight="1">
      <c r="A415" s="17"/>
      <c r="B415" s="17"/>
      <c r="C415" s="17"/>
      <c r="D415" s="17"/>
      <c r="E415" s="18"/>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row>
    <row r="416" ht="15.75" customHeight="1">
      <c r="A416" s="17"/>
      <c r="B416" s="17"/>
      <c r="C416" s="17"/>
      <c r="D416" s="17"/>
      <c r="E416" s="18"/>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row>
    <row r="417" ht="15.75" customHeight="1">
      <c r="A417" s="17"/>
      <c r="B417" s="17"/>
      <c r="C417" s="17"/>
      <c r="D417" s="17"/>
      <c r="E417" s="18"/>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row>
    <row r="418" ht="15.75" customHeight="1">
      <c r="A418" s="17"/>
      <c r="B418" s="17"/>
      <c r="C418" s="17"/>
      <c r="D418" s="17"/>
      <c r="E418" s="18"/>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row>
    <row r="419" ht="15.75" customHeight="1">
      <c r="A419" s="17"/>
      <c r="B419" s="17"/>
      <c r="C419" s="17"/>
      <c r="D419" s="17"/>
      <c r="E419" s="18"/>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row>
    <row r="420" ht="15.75" customHeight="1">
      <c r="A420" s="17"/>
      <c r="B420" s="17"/>
      <c r="C420" s="17"/>
      <c r="D420" s="17"/>
      <c r="E420" s="18"/>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row>
    <row r="421" ht="15.75" customHeight="1">
      <c r="A421" s="17"/>
      <c r="B421" s="17"/>
      <c r="C421" s="17"/>
      <c r="D421" s="17"/>
      <c r="E421" s="18"/>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row>
    <row r="422" ht="15.75" customHeight="1">
      <c r="A422" s="17"/>
      <c r="B422" s="17"/>
      <c r="C422" s="17"/>
      <c r="D422" s="17"/>
      <c r="E422" s="18"/>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row>
    <row r="423" ht="15.75" customHeight="1">
      <c r="A423" s="17"/>
      <c r="B423" s="17"/>
      <c r="C423" s="17"/>
      <c r="D423" s="17"/>
      <c r="E423" s="18"/>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row>
    <row r="424" ht="15.75" customHeight="1">
      <c r="A424" s="17"/>
      <c r="B424" s="17"/>
      <c r="C424" s="17"/>
      <c r="D424" s="17"/>
      <c r="E424" s="18"/>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row>
    <row r="425" ht="15.75" customHeight="1">
      <c r="A425" s="17"/>
      <c r="B425" s="17"/>
      <c r="C425" s="17"/>
      <c r="D425" s="17"/>
      <c r="E425" s="18"/>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row>
    <row r="426" ht="15.75" customHeight="1">
      <c r="A426" s="17"/>
      <c r="B426" s="17"/>
      <c r="C426" s="17"/>
      <c r="D426" s="17"/>
      <c r="E426" s="18"/>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row>
    <row r="427" ht="15.75" customHeight="1">
      <c r="A427" s="17"/>
      <c r="B427" s="17"/>
      <c r="C427" s="17"/>
      <c r="D427" s="17"/>
      <c r="E427" s="18"/>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row>
    <row r="428" ht="15.75" customHeight="1">
      <c r="A428" s="17"/>
      <c r="B428" s="17"/>
      <c r="C428" s="17"/>
      <c r="D428" s="17"/>
      <c r="E428" s="18"/>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row>
    <row r="429" ht="15.75" customHeight="1">
      <c r="A429" s="17"/>
      <c r="B429" s="17"/>
      <c r="C429" s="17"/>
      <c r="D429" s="17"/>
      <c r="E429" s="18"/>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row>
    <row r="430" ht="15.75" customHeight="1">
      <c r="A430" s="17"/>
      <c r="B430" s="17"/>
      <c r="C430" s="17"/>
      <c r="D430" s="17"/>
      <c r="E430" s="18"/>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row>
    <row r="431" ht="15.75" customHeight="1">
      <c r="A431" s="17"/>
      <c r="B431" s="17"/>
      <c r="C431" s="17"/>
      <c r="D431" s="17"/>
      <c r="E431" s="18"/>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row>
    <row r="432" ht="15.75" customHeight="1">
      <c r="A432" s="17"/>
      <c r="B432" s="17"/>
      <c r="C432" s="17"/>
      <c r="D432" s="17"/>
      <c r="E432" s="18"/>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row>
    <row r="433" ht="15.75" customHeight="1">
      <c r="A433" s="17"/>
      <c r="B433" s="17"/>
      <c r="C433" s="17"/>
      <c r="D433" s="17"/>
      <c r="E433" s="18"/>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row>
    <row r="434" ht="15.75" customHeight="1">
      <c r="A434" s="17"/>
      <c r="B434" s="17"/>
      <c r="C434" s="17"/>
      <c r="D434" s="17"/>
      <c r="E434" s="18"/>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row>
    <row r="435" ht="15.75" customHeight="1">
      <c r="A435" s="17"/>
      <c r="B435" s="17"/>
      <c r="C435" s="17"/>
      <c r="D435" s="17"/>
      <c r="E435" s="18"/>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row>
    <row r="436" ht="15.75" customHeight="1">
      <c r="A436" s="17"/>
      <c r="B436" s="17"/>
      <c r="C436" s="17"/>
      <c r="D436" s="17"/>
      <c r="E436" s="18"/>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row>
    <row r="437" ht="15.75" customHeight="1">
      <c r="A437" s="17"/>
      <c r="B437" s="17"/>
      <c r="C437" s="17"/>
      <c r="D437" s="17"/>
      <c r="E437" s="18"/>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row>
    <row r="438" ht="15.75" customHeight="1">
      <c r="A438" s="17"/>
      <c r="B438" s="17"/>
      <c r="C438" s="17"/>
      <c r="D438" s="17"/>
      <c r="E438" s="18"/>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row>
    <row r="439" ht="15.75" customHeight="1">
      <c r="A439" s="17"/>
      <c r="B439" s="17"/>
      <c r="C439" s="17"/>
      <c r="D439" s="17"/>
      <c r="E439" s="18"/>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row>
    <row r="440" ht="15.75" customHeight="1">
      <c r="A440" s="17"/>
      <c r="B440" s="17"/>
      <c r="C440" s="17"/>
      <c r="D440" s="17"/>
      <c r="E440" s="18"/>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row>
    <row r="441" ht="15.75" customHeight="1">
      <c r="A441" s="17"/>
      <c r="B441" s="17"/>
      <c r="C441" s="17"/>
      <c r="D441" s="17"/>
      <c r="E441" s="18"/>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row>
    <row r="442" ht="15.75" customHeight="1">
      <c r="A442" s="17"/>
      <c r="B442" s="17"/>
      <c r="C442" s="17"/>
      <c r="D442" s="17"/>
      <c r="E442" s="18"/>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row>
    <row r="443" ht="15.75" customHeight="1">
      <c r="A443" s="17"/>
      <c r="B443" s="17"/>
      <c r="C443" s="17"/>
      <c r="D443" s="17"/>
      <c r="E443" s="18"/>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row>
    <row r="444" ht="15.75" customHeight="1">
      <c r="A444" s="17"/>
      <c r="B444" s="17"/>
      <c r="C444" s="17"/>
      <c r="D444" s="17"/>
      <c r="E444" s="18"/>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row>
    <row r="445" ht="15.75" customHeight="1">
      <c r="A445" s="17"/>
      <c r="B445" s="17"/>
      <c r="C445" s="17"/>
      <c r="D445" s="17"/>
      <c r="E445" s="18"/>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row>
    <row r="446" ht="15.75" customHeight="1">
      <c r="A446" s="17"/>
      <c r="B446" s="17"/>
      <c r="C446" s="17"/>
      <c r="D446" s="17"/>
      <c r="E446" s="18"/>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row>
    <row r="447" ht="15.75" customHeight="1">
      <c r="A447" s="17"/>
      <c r="B447" s="17"/>
      <c r="C447" s="17"/>
      <c r="D447" s="17"/>
      <c r="E447" s="18"/>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row>
    <row r="448" ht="15.75" customHeight="1">
      <c r="A448" s="17"/>
      <c r="B448" s="17"/>
      <c r="C448" s="17"/>
      <c r="D448" s="17"/>
      <c r="E448" s="18"/>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row>
    <row r="449" ht="15.75" customHeight="1">
      <c r="A449" s="17"/>
      <c r="B449" s="17"/>
      <c r="C449" s="17"/>
      <c r="D449" s="17"/>
      <c r="E449" s="18"/>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row>
    <row r="450" ht="15.75" customHeight="1">
      <c r="A450" s="17"/>
      <c r="B450" s="17"/>
      <c r="C450" s="17"/>
      <c r="D450" s="17"/>
      <c r="E450" s="18"/>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row>
    <row r="451" ht="15.75" customHeight="1">
      <c r="A451" s="17"/>
      <c r="B451" s="17"/>
      <c r="C451" s="17"/>
      <c r="D451" s="17"/>
      <c r="E451" s="18"/>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row>
    <row r="452" ht="15.75" customHeight="1">
      <c r="A452" s="17"/>
      <c r="B452" s="17"/>
      <c r="C452" s="17"/>
      <c r="D452" s="17"/>
      <c r="E452" s="18"/>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row>
    <row r="453" ht="15.75" customHeight="1">
      <c r="A453" s="17"/>
      <c r="B453" s="17"/>
      <c r="C453" s="17"/>
      <c r="D453" s="17"/>
      <c r="E453" s="18"/>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row>
    <row r="454" ht="15.75" customHeight="1">
      <c r="A454" s="17"/>
      <c r="B454" s="17"/>
      <c r="C454" s="17"/>
      <c r="D454" s="17"/>
      <c r="E454" s="18"/>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row>
    <row r="455" ht="15.75" customHeight="1">
      <c r="A455" s="17"/>
      <c r="B455" s="17"/>
      <c r="C455" s="17"/>
      <c r="D455" s="17"/>
      <c r="E455" s="18"/>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row>
    <row r="456" ht="15.75" customHeight="1">
      <c r="A456" s="17"/>
      <c r="B456" s="17"/>
      <c r="C456" s="17"/>
      <c r="D456" s="17"/>
      <c r="E456" s="18"/>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row>
    <row r="457" ht="15.75" customHeight="1">
      <c r="A457" s="17"/>
      <c r="B457" s="17"/>
      <c r="C457" s="17"/>
      <c r="D457" s="17"/>
      <c r="E457" s="18"/>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row>
    <row r="458" ht="15.75" customHeight="1">
      <c r="A458" s="17"/>
      <c r="B458" s="17"/>
      <c r="C458" s="17"/>
      <c r="D458" s="17"/>
      <c r="E458" s="18"/>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row>
    <row r="459" ht="15.75" customHeight="1">
      <c r="A459" s="17"/>
      <c r="B459" s="17"/>
      <c r="C459" s="17"/>
      <c r="D459" s="17"/>
      <c r="E459" s="18"/>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row>
    <row r="460" ht="15.75" customHeight="1">
      <c r="A460" s="17"/>
      <c r="B460" s="17"/>
      <c r="C460" s="17"/>
      <c r="D460" s="17"/>
      <c r="E460" s="18"/>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row>
    <row r="461" ht="15.75" customHeight="1">
      <c r="A461" s="17"/>
      <c r="B461" s="17"/>
      <c r="C461" s="17"/>
      <c r="D461" s="17"/>
      <c r="E461" s="18"/>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row>
    <row r="462" ht="15.75" customHeight="1">
      <c r="A462" s="17"/>
      <c r="B462" s="17"/>
      <c r="C462" s="17"/>
      <c r="D462" s="17"/>
      <c r="E462" s="18"/>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row>
    <row r="463" ht="15.75" customHeight="1">
      <c r="A463" s="17"/>
      <c r="B463" s="17"/>
      <c r="C463" s="17"/>
      <c r="D463" s="17"/>
      <c r="E463" s="18"/>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row>
    <row r="464" ht="15.75" customHeight="1">
      <c r="A464" s="17"/>
      <c r="B464" s="17"/>
      <c r="C464" s="17"/>
      <c r="D464" s="17"/>
      <c r="E464" s="18"/>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row>
    <row r="465" ht="15.75" customHeight="1">
      <c r="A465" s="17"/>
      <c r="B465" s="17"/>
      <c r="C465" s="17"/>
      <c r="D465" s="17"/>
      <c r="E465" s="18"/>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row>
    <row r="466" ht="15.75" customHeight="1">
      <c r="A466" s="17"/>
      <c r="B466" s="17"/>
      <c r="C466" s="17"/>
      <c r="D466" s="17"/>
      <c r="E466" s="18"/>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row>
    <row r="467" ht="15.75" customHeight="1">
      <c r="A467" s="17"/>
      <c r="B467" s="17"/>
      <c r="C467" s="17"/>
      <c r="D467" s="17"/>
      <c r="E467" s="18"/>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row>
    <row r="468" ht="15.75" customHeight="1">
      <c r="A468" s="17"/>
      <c r="B468" s="17"/>
      <c r="C468" s="17"/>
      <c r="D468" s="17"/>
      <c r="E468" s="18"/>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row>
    <row r="469" ht="15.75" customHeight="1">
      <c r="A469" s="17"/>
      <c r="B469" s="17"/>
      <c r="C469" s="17"/>
      <c r="D469" s="17"/>
      <c r="E469" s="18"/>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row>
    <row r="470" ht="15.75" customHeight="1">
      <c r="A470" s="17"/>
      <c r="B470" s="17"/>
      <c r="C470" s="17"/>
      <c r="D470" s="17"/>
      <c r="E470" s="18"/>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row>
    <row r="471" ht="15.75" customHeight="1">
      <c r="A471" s="17"/>
      <c r="B471" s="17"/>
      <c r="C471" s="17"/>
      <c r="D471" s="17"/>
      <c r="E471" s="18"/>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row>
    <row r="472" ht="15.75" customHeight="1">
      <c r="A472" s="17"/>
      <c r="B472" s="17"/>
      <c r="C472" s="17"/>
      <c r="D472" s="17"/>
      <c r="E472" s="18"/>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row>
    <row r="473" ht="15.75" customHeight="1">
      <c r="A473" s="17"/>
      <c r="B473" s="17"/>
      <c r="C473" s="17"/>
      <c r="D473" s="17"/>
      <c r="E473" s="18"/>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row>
    <row r="474" ht="15.75" customHeight="1">
      <c r="A474" s="17"/>
      <c r="B474" s="17"/>
      <c r="C474" s="17"/>
      <c r="D474" s="17"/>
      <c r="E474" s="18"/>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row>
    <row r="475" ht="15.75" customHeight="1">
      <c r="A475" s="17"/>
      <c r="B475" s="17"/>
      <c r="C475" s="17"/>
      <c r="D475" s="17"/>
      <c r="E475" s="18"/>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row>
    <row r="476" ht="15.75" customHeight="1">
      <c r="A476" s="17"/>
      <c r="B476" s="17"/>
      <c r="C476" s="17"/>
      <c r="D476" s="17"/>
      <c r="E476" s="18"/>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row>
    <row r="477" ht="15.75" customHeight="1">
      <c r="A477" s="17"/>
      <c r="B477" s="17"/>
      <c r="C477" s="17"/>
      <c r="D477" s="17"/>
      <c r="E477" s="18"/>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row>
    <row r="478" ht="15.75" customHeight="1">
      <c r="A478" s="17"/>
      <c r="B478" s="17"/>
      <c r="C478" s="17"/>
      <c r="D478" s="17"/>
      <c r="E478" s="18"/>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row>
    <row r="479" ht="15.75" customHeight="1">
      <c r="A479" s="17"/>
      <c r="B479" s="17"/>
      <c r="C479" s="17"/>
      <c r="D479" s="17"/>
      <c r="E479" s="18"/>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row>
    <row r="480" ht="15.75" customHeight="1">
      <c r="A480" s="17"/>
      <c r="B480" s="17"/>
      <c r="C480" s="17"/>
      <c r="D480" s="17"/>
      <c r="E480" s="18"/>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row>
    <row r="481" ht="15.75" customHeight="1">
      <c r="A481" s="17"/>
      <c r="B481" s="17"/>
      <c r="C481" s="17"/>
      <c r="D481" s="17"/>
      <c r="E481" s="18"/>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row>
    <row r="482" ht="15.75" customHeight="1">
      <c r="A482" s="17"/>
      <c r="B482" s="17"/>
      <c r="C482" s="17"/>
      <c r="D482" s="17"/>
      <c r="E482" s="18"/>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row>
    <row r="483" ht="15.75" customHeight="1">
      <c r="A483" s="17"/>
      <c r="B483" s="17"/>
      <c r="C483" s="17"/>
      <c r="D483" s="17"/>
      <c r="E483" s="18"/>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row>
    <row r="484" ht="15.75" customHeight="1">
      <c r="A484" s="17"/>
      <c r="B484" s="17"/>
      <c r="C484" s="17"/>
      <c r="D484" s="17"/>
      <c r="E484" s="18"/>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row>
    <row r="485" ht="15.75" customHeight="1">
      <c r="A485" s="17"/>
      <c r="B485" s="17"/>
      <c r="C485" s="17"/>
      <c r="D485" s="17"/>
      <c r="E485" s="18"/>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row>
    <row r="486" ht="15.75" customHeight="1">
      <c r="A486" s="17"/>
      <c r="B486" s="17"/>
      <c r="C486" s="17"/>
      <c r="D486" s="17"/>
      <c r="E486" s="18"/>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row>
    <row r="487" ht="15.75" customHeight="1">
      <c r="A487" s="17"/>
      <c r="B487" s="17"/>
      <c r="C487" s="17"/>
      <c r="D487" s="17"/>
      <c r="E487" s="18"/>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row>
    <row r="488" ht="15.75" customHeight="1">
      <c r="A488" s="17"/>
      <c r="B488" s="17"/>
      <c r="C488" s="17"/>
      <c r="D488" s="17"/>
      <c r="E488" s="18"/>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row>
    <row r="489" ht="15.75" customHeight="1">
      <c r="A489" s="17"/>
      <c r="B489" s="17"/>
      <c r="C489" s="17"/>
      <c r="D489" s="17"/>
      <c r="E489" s="18"/>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row>
    <row r="490" ht="15.75" customHeight="1">
      <c r="A490" s="17"/>
      <c r="B490" s="17"/>
      <c r="C490" s="17"/>
      <c r="D490" s="17"/>
      <c r="E490" s="18"/>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row>
    <row r="491" ht="15.75" customHeight="1">
      <c r="A491" s="17"/>
      <c r="B491" s="17"/>
      <c r="C491" s="17"/>
      <c r="D491" s="17"/>
      <c r="E491" s="18"/>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row>
    <row r="492" ht="15.75" customHeight="1">
      <c r="A492" s="17"/>
      <c r="B492" s="17"/>
      <c r="C492" s="17"/>
      <c r="D492" s="17"/>
      <c r="E492" s="18"/>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row>
    <row r="493" ht="15.75" customHeight="1">
      <c r="A493" s="17"/>
      <c r="B493" s="17"/>
      <c r="C493" s="17"/>
      <c r="D493" s="17"/>
      <c r="E493" s="18"/>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row>
    <row r="494" ht="15.75" customHeight="1">
      <c r="A494" s="17"/>
      <c r="B494" s="17"/>
      <c r="C494" s="17"/>
      <c r="D494" s="17"/>
      <c r="E494" s="18"/>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row>
    <row r="495" ht="15.75" customHeight="1">
      <c r="A495" s="17"/>
      <c r="B495" s="17"/>
      <c r="C495" s="17"/>
      <c r="D495" s="17"/>
      <c r="E495" s="18"/>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row>
    <row r="496" ht="15.75" customHeight="1">
      <c r="A496" s="17"/>
      <c r="B496" s="17"/>
      <c r="C496" s="17"/>
      <c r="D496" s="17"/>
      <c r="E496" s="18"/>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row>
    <row r="497" ht="15.75" customHeight="1">
      <c r="A497" s="17"/>
      <c r="B497" s="17"/>
      <c r="C497" s="17"/>
      <c r="D497" s="17"/>
      <c r="E497" s="18"/>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row>
    <row r="498" ht="15.75" customHeight="1">
      <c r="A498" s="17"/>
      <c r="B498" s="17"/>
      <c r="C498" s="17"/>
      <c r="D498" s="17"/>
      <c r="E498" s="18"/>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row>
    <row r="499" ht="15.75" customHeight="1">
      <c r="A499" s="17"/>
      <c r="B499" s="17"/>
      <c r="C499" s="17"/>
      <c r="D499" s="17"/>
      <c r="E499" s="18"/>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row>
    <row r="500" ht="15.75" customHeight="1">
      <c r="A500" s="17"/>
      <c r="B500" s="17"/>
      <c r="C500" s="17"/>
      <c r="D500" s="17"/>
      <c r="E500" s="18"/>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row>
    <row r="501" ht="15.75" customHeight="1">
      <c r="A501" s="17"/>
      <c r="B501" s="17"/>
      <c r="C501" s="17"/>
      <c r="D501" s="17"/>
      <c r="E501" s="18"/>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row>
    <row r="502" ht="15.75" customHeight="1">
      <c r="A502" s="17"/>
      <c r="B502" s="17"/>
      <c r="C502" s="17"/>
      <c r="D502" s="17"/>
      <c r="E502" s="18"/>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row>
    <row r="503" ht="15.75" customHeight="1">
      <c r="A503" s="17"/>
      <c r="B503" s="17"/>
      <c r="C503" s="17"/>
      <c r="D503" s="17"/>
      <c r="E503" s="18"/>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row>
    <row r="504" ht="15.75" customHeight="1">
      <c r="A504" s="17"/>
      <c r="B504" s="17"/>
      <c r="C504" s="17"/>
      <c r="D504" s="17"/>
      <c r="E504" s="18"/>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row>
    <row r="505" ht="15.75" customHeight="1">
      <c r="A505" s="17"/>
      <c r="B505" s="17"/>
      <c r="C505" s="17"/>
      <c r="D505" s="17"/>
      <c r="E505" s="18"/>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row>
    <row r="506" ht="15.75" customHeight="1">
      <c r="A506" s="17"/>
      <c r="B506" s="17"/>
      <c r="C506" s="17"/>
      <c r="D506" s="17"/>
      <c r="E506" s="18"/>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row>
    <row r="507" ht="15.75" customHeight="1">
      <c r="A507" s="17"/>
      <c r="B507" s="17"/>
      <c r="C507" s="17"/>
      <c r="D507" s="17"/>
      <c r="E507" s="18"/>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row>
    <row r="508" ht="15.75" customHeight="1">
      <c r="A508" s="17"/>
      <c r="B508" s="17"/>
      <c r="C508" s="17"/>
      <c r="D508" s="17"/>
      <c r="E508" s="18"/>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row>
    <row r="509" ht="15.75" customHeight="1">
      <c r="A509" s="17"/>
      <c r="B509" s="17"/>
      <c r="C509" s="17"/>
      <c r="D509" s="17"/>
      <c r="E509" s="18"/>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row>
    <row r="510" ht="15.75" customHeight="1">
      <c r="A510" s="17"/>
      <c r="B510" s="17"/>
      <c r="C510" s="17"/>
      <c r="D510" s="17"/>
      <c r="E510" s="18"/>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row>
    <row r="511" ht="15.75" customHeight="1">
      <c r="A511" s="17"/>
      <c r="B511" s="17"/>
      <c r="C511" s="17"/>
      <c r="D511" s="17"/>
      <c r="E511" s="18"/>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row>
    <row r="512" ht="15.75" customHeight="1">
      <c r="A512" s="17"/>
      <c r="B512" s="17"/>
      <c r="C512" s="17"/>
      <c r="D512" s="17"/>
      <c r="E512" s="18"/>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row>
    <row r="513" ht="15.75" customHeight="1">
      <c r="A513" s="17"/>
      <c r="B513" s="17"/>
      <c r="C513" s="17"/>
      <c r="D513" s="17"/>
      <c r="E513" s="18"/>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row>
    <row r="514" ht="15.75" customHeight="1">
      <c r="A514" s="17"/>
      <c r="B514" s="17"/>
      <c r="C514" s="17"/>
      <c r="D514" s="17"/>
      <c r="E514" s="18"/>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row>
    <row r="515" ht="15.75" customHeight="1">
      <c r="A515" s="17"/>
      <c r="B515" s="17"/>
      <c r="C515" s="17"/>
      <c r="D515" s="17"/>
      <c r="E515" s="18"/>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row>
    <row r="516" ht="15.75" customHeight="1">
      <c r="A516" s="17"/>
      <c r="B516" s="17"/>
      <c r="C516" s="17"/>
      <c r="D516" s="17"/>
      <c r="E516" s="18"/>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row>
    <row r="517" ht="15.75" customHeight="1">
      <c r="A517" s="17"/>
      <c r="B517" s="17"/>
      <c r="C517" s="17"/>
      <c r="D517" s="17"/>
      <c r="E517" s="18"/>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row>
    <row r="518" ht="15.75" customHeight="1">
      <c r="A518" s="17"/>
      <c r="B518" s="17"/>
      <c r="C518" s="17"/>
      <c r="D518" s="17"/>
      <c r="E518" s="18"/>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row>
    <row r="519" ht="15.75" customHeight="1">
      <c r="A519" s="17"/>
      <c r="B519" s="17"/>
      <c r="C519" s="17"/>
      <c r="D519" s="17"/>
      <c r="E519" s="18"/>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row>
    <row r="520" ht="15.75" customHeight="1">
      <c r="A520" s="17"/>
      <c r="B520" s="17"/>
      <c r="C520" s="17"/>
      <c r="D520" s="17"/>
      <c r="E520" s="18"/>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row>
    <row r="521" ht="15.75" customHeight="1">
      <c r="A521" s="17"/>
      <c r="B521" s="17"/>
      <c r="C521" s="17"/>
      <c r="D521" s="17"/>
      <c r="E521" s="18"/>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row>
    <row r="522" ht="15.75" customHeight="1">
      <c r="A522" s="17"/>
      <c r="B522" s="17"/>
      <c r="C522" s="17"/>
      <c r="D522" s="17"/>
      <c r="E522" s="18"/>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row>
    <row r="523" ht="15.75" customHeight="1">
      <c r="A523" s="17"/>
      <c r="B523" s="17"/>
      <c r="C523" s="17"/>
      <c r="D523" s="17"/>
      <c r="E523" s="18"/>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row>
    <row r="524" ht="15.75" customHeight="1">
      <c r="A524" s="17"/>
      <c r="B524" s="17"/>
      <c r="C524" s="17"/>
      <c r="D524" s="17"/>
      <c r="E524" s="18"/>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row>
    <row r="525" ht="15.75" customHeight="1">
      <c r="A525" s="17"/>
      <c r="B525" s="17"/>
      <c r="C525" s="17"/>
      <c r="D525" s="17"/>
      <c r="E525" s="18"/>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row>
    <row r="526" ht="15.75" customHeight="1">
      <c r="A526" s="17"/>
      <c r="B526" s="17"/>
      <c r="C526" s="17"/>
      <c r="D526" s="17"/>
      <c r="E526" s="18"/>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row>
    <row r="527" ht="15.75" customHeight="1">
      <c r="A527" s="17"/>
      <c r="B527" s="17"/>
      <c r="C527" s="17"/>
      <c r="D527" s="17"/>
      <c r="E527" s="18"/>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row>
    <row r="528" ht="15.75" customHeight="1">
      <c r="A528" s="17"/>
      <c r="B528" s="17"/>
      <c r="C528" s="17"/>
      <c r="D528" s="17"/>
      <c r="E528" s="18"/>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row>
    <row r="529" ht="15.75" customHeight="1">
      <c r="A529" s="17"/>
      <c r="B529" s="17"/>
      <c r="C529" s="17"/>
      <c r="D529" s="17"/>
      <c r="E529" s="18"/>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row>
    <row r="530" ht="15.75" customHeight="1">
      <c r="A530" s="17"/>
      <c r="B530" s="17"/>
      <c r="C530" s="17"/>
      <c r="D530" s="17"/>
      <c r="E530" s="18"/>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row>
    <row r="531" ht="15.75" customHeight="1">
      <c r="A531" s="17"/>
      <c r="B531" s="17"/>
      <c r="C531" s="17"/>
      <c r="D531" s="17"/>
      <c r="E531" s="18"/>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row>
    <row r="532" ht="15.75" customHeight="1">
      <c r="A532" s="17"/>
      <c r="B532" s="17"/>
      <c r="C532" s="17"/>
      <c r="D532" s="17"/>
      <c r="E532" s="18"/>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row>
    <row r="533" ht="15.75" customHeight="1">
      <c r="A533" s="17"/>
      <c r="B533" s="17"/>
      <c r="C533" s="17"/>
      <c r="D533" s="17"/>
      <c r="E533" s="18"/>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row>
    <row r="534" ht="15.75" customHeight="1">
      <c r="A534" s="17"/>
      <c r="B534" s="17"/>
      <c r="C534" s="17"/>
      <c r="D534" s="17"/>
      <c r="E534" s="18"/>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row>
    <row r="535" ht="15.75" customHeight="1">
      <c r="A535" s="17"/>
      <c r="B535" s="17"/>
      <c r="C535" s="17"/>
      <c r="D535" s="17"/>
      <c r="E535" s="18"/>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row>
    <row r="536" ht="15.75" customHeight="1">
      <c r="A536" s="17"/>
      <c r="B536" s="17"/>
      <c r="C536" s="17"/>
      <c r="D536" s="17"/>
      <c r="E536" s="18"/>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row>
    <row r="537" ht="15.75" customHeight="1">
      <c r="A537" s="17"/>
      <c r="B537" s="17"/>
      <c r="C537" s="17"/>
      <c r="D537" s="17"/>
      <c r="E537" s="18"/>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row>
    <row r="538" ht="15.75" customHeight="1">
      <c r="A538" s="17"/>
      <c r="B538" s="17"/>
      <c r="C538" s="17"/>
      <c r="D538" s="17"/>
      <c r="E538" s="18"/>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row>
    <row r="539" ht="15.75" customHeight="1">
      <c r="A539" s="17"/>
      <c r="B539" s="17"/>
      <c r="C539" s="17"/>
      <c r="D539" s="17"/>
      <c r="E539" s="18"/>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row>
    <row r="540" ht="15.75" customHeight="1">
      <c r="A540" s="17"/>
      <c r="B540" s="17"/>
      <c r="C540" s="17"/>
      <c r="D540" s="17"/>
      <c r="E540" s="18"/>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row>
    <row r="541" ht="15.75" customHeight="1">
      <c r="A541" s="17"/>
      <c r="B541" s="17"/>
      <c r="C541" s="17"/>
      <c r="D541" s="17"/>
      <c r="E541" s="18"/>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row>
    <row r="542" ht="15.75" customHeight="1">
      <c r="A542" s="17"/>
      <c r="B542" s="17"/>
      <c r="C542" s="17"/>
      <c r="D542" s="17"/>
      <c r="E542" s="18"/>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row>
    <row r="543" ht="15.75" customHeight="1">
      <c r="A543" s="17"/>
      <c r="B543" s="17"/>
      <c r="C543" s="17"/>
      <c r="D543" s="17"/>
      <c r="E543" s="18"/>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row>
    <row r="544" ht="15.75" customHeight="1">
      <c r="A544" s="17"/>
      <c r="B544" s="17"/>
      <c r="C544" s="17"/>
      <c r="D544" s="17"/>
      <c r="E544" s="18"/>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row>
    <row r="545" ht="15.75" customHeight="1">
      <c r="A545" s="17"/>
      <c r="B545" s="17"/>
      <c r="C545" s="17"/>
      <c r="D545" s="17"/>
      <c r="E545" s="18"/>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row>
    <row r="546" ht="15.75" customHeight="1">
      <c r="A546" s="17"/>
      <c r="B546" s="17"/>
      <c r="C546" s="17"/>
      <c r="D546" s="17"/>
      <c r="E546" s="18"/>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row>
    <row r="547" ht="15.75" customHeight="1">
      <c r="A547" s="17"/>
      <c r="B547" s="17"/>
      <c r="C547" s="17"/>
      <c r="D547" s="17"/>
      <c r="E547" s="18"/>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row>
    <row r="548" ht="15.75" customHeight="1">
      <c r="A548" s="17"/>
      <c r="B548" s="17"/>
      <c r="C548" s="17"/>
      <c r="D548" s="17"/>
      <c r="E548" s="18"/>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row>
    <row r="549" ht="15.75" customHeight="1">
      <c r="A549" s="17"/>
      <c r="B549" s="17"/>
      <c r="C549" s="17"/>
      <c r="D549" s="17"/>
      <c r="E549" s="18"/>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row>
    <row r="550" ht="15.75" customHeight="1">
      <c r="A550" s="17"/>
      <c r="B550" s="17"/>
      <c r="C550" s="17"/>
      <c r="D550" s="17"/>
      <c r="E550" s="18"/>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row>
    <row r="551" ht="15.75" customHeight="1">
      <c r="A551" s="17"/>
      <c r="B551" s="17"/>
      <c r="C551" s="17"/>
      <c r="D551" s="17"/>
      <c r="E551" s="18"/>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row>
    <row r="552" ht="15.75" customHeight="1">
      <c r="A552" s="17"/>
      <c r="B552" s="17"/>
      <c r="C552" s="17"/>
      <c r="D552" s="17"/>
      <c r="E552" s="18"/>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row>
    <row r="553" ht="15.75" customHeight="1">
      <c r="A553" s="17"/>
      <c r="B553" s="17"/>
      <c r="C553" s="17"/>
      <c r="D553" s="17"/>
      <c r="E553" s="18"/>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row>
    <row r="554" ht="15.75" customHeight="1">
      <c r="A554" s="17"/>
      <c r="B554" s="17"/>
      <c r="C554" s="17"/>
      <c r="D554" s="17"/>
      <c r="E554" s="18"/>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row>
    <row r="555" ht="15.75" customHeight="1">
      <c r="A555" s="17"/>
      <c r="B555" s="17"/>
      <c r="C555" s="17"/>
      <c r="D555" s="17"/>
      <c r="E555" s="18"/>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row>
    <row r="556" ht="15.75" customHeight="1">
      <c r="A556" s="17"/>
      <c r="B556" s="17"/>
      <c r="C556" s="17"/>
      <c r="D556" s="17"/>
      <c r="E556" s="18"/>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row>
    <row r="557" ht="15.75" customHeight="1">
      <c r="A557" s="17"/>
      <c r="B557" s="17"/>
      <c r="C557" s="17"/>
      <c r="D557" s="17"/>
      <c r="E557" s="18"/>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row>
    <row r="558" ht="15.75" customHeight="1">
      <c r="A558" s="17"/>
      <c r="B558" s="17"/>
      <c r="C558" s="17"/>
      <c r="D558" s="17"/>
      <c r="E558" s="18"/>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row>
    <row r="559" ht="15.75" customHeight="1">
      <c r="A559" s="17"/>
      <c r="B559" s="17"/>
      <c r="C559" s="17"/>
      <c r="D559" s="17"/>
      <c r="E559" s="18"/>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row>
    <row r="560" ht="15.75" customHeight="1">
      <c r="A560" s="17"/>
      <c r="B560" s="17"/>
      <c r="C560" s="17"/>
      <c r="D560" s="17"/>
      <c r="E560" s="18"/>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row>
    <row r="561" ht="15.75" customHeight="1">
      <c r="A561" s="17"/>
      <c r="B561" s="17"/>
      <c r="C561" s="17"/>
      <c r="D561" s="17"/>
      <c r="E561" s="18"/>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row>
    <row r="562" ht="15.75" customHeight="1">
      <c r="A562" s="17"/>
      <c r="B562" s="17"/>
      <c r="C562" s="17"/>
      <c r="D562" s="17"/>
      <c r="E562" s="18"/>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row>
    <row r="563" ht="15.75" customHeight="1">
      <c r="A563" s="17"/>
      <c r="B563" s="17"/>
      <c r="C563" s="17"/>
      <c r="D563" s="17"/>
      <c r="E563" s="18"/>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row>
    <row r="564" ht="15.75" customHeight="1">
      <c r="A564" s="17"/>
      <c r="B564" s="17"/>
      <c r="C564" s="17"/>
      <c r="D564" s="17"/>
      <c r="E564" s="18"/>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row>
    <row r="565" ht="15.75" customHeight="1">
      <c r="A565" s="17"/>
      <c r="B565" s="17"/>
      <c r="C565" s="17"/>
      <c r="D565" s="17"/>
      <c r="E565" s="18"/>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row>
    <row r="566" ht="15.75" customHeight="1">
      <c r="A566" s="17"/>
      <c r="B566" s="17"/>
      <c r="C566" s="17"/>
      <c r="D566" s="17"/>
      <c r="E566" s="18"/>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row>
    <row r="567" ht="15.75" customHeight="1">
      <c r="A567" s="17"/>
      <c r="B567" s="17"/>
      <c r="C567" s="17"/>
      <c r="D567" s="17"/>
      <c r="E567" s="18"/>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row>
    <row r="568" ht="15.75" customHeight="1">
      <c r="A568" s="17"/>
      <c r="B568" s="17"/>
      <c r="C568" s="17"/>
      <c r="D568" s="17"/>
      <c r="E568" s="18"/>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row>
    <row r="569" ht="15.75" customHeight="1">
      <c r="A569" s="17"/>
      <c r="B569" s="17"/>
      <c r="C569" s="17"/>
      <c r="D569" s="17"/>
      <c r="E569" s="18"/>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row>
    <row r="570" ht="15.75" customHeight="1">
      <c r="A570" s="17"/>
      <c r="B570" s="17"/>
      <c r="C570" s="17"/>
      <c r="D570" s="17"/>
      <c r="E570" s="18"/>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row>
    <row r="571" ht="15.75" customHeight="1">
      <c r="A571" s="17"/>
      <c r="B571" s="17"/>
      <c r="C571" s="17"/>
      <c r="D571" s="17"/>
      <c r="E571" s="18"/>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row>
    <row r="572" ht="15.75" customHeight="1">
      <c r="A572" s="17"/>
      <c r="B572" s="17"/>
      <c r="C572" s="17"/>
      <c r="D572" s="17"/>
      <c r="E572" s="18"/>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row>
    <row r="573" ht="15.75" customHeight="1">
      <c r="A573" s="17"/>
      <c r="B573" s="17"/>
      <c r="C573" s="17"/>
      <c r="D573" s="17"/>
      <c r="E573" s="18"/>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row>
    <row r="574" ht="15.75" customHeight="1">
      <c r="A574" s="17"/>
      <c r="B574" s="17"/>
      <c r="C574" s="17"/>
      <c r="D574" s="17"/>
      <c r="E574" s="18"/>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row>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K1:M1"/>
    <mergeCell ref="N1:P1"/>
    <mergeCell ref="Q1:S1"/>
    <mergeCell ref="T1:V1"/>
    <mergeCell ref="W1:Y1"/>
    <mergeCell ref="Z1:AB1"/>
    <mergeCell ref="AC1:AE1"/>
  </mergeCells>
  <conditionalFormatting sqref="I1:I2 M2:M1000 P2:P1000 S2:S1000 V2:V1000 Y2:Y1000 AB2:AB1000 AE2:AE1000 AF1:AI2">
    <cfRule type="cellIs" dxfId="0" priority="1" operator="equal">
      <formula>0</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7.5"/>
    <col customWidth="1" min="2" max="2" width="15.75"/>
    <col customWidth="1" min="3" max="3" width="30.63"/>
    <col customWidth="1" min="4" max="4" width="45.63"/>
    <col customWidth="1" min="5" max="5" width="14.0"/>
    <col customWidth="1" min="6" max="6" width="12.63"/>
  </cols>
  <sheetData>
    <row r="1" ht="56.25" customHeight="1">
      <c r="A1" s="19" t="s">
        <v>705</v>
      </c>
      <c r="B1" s="19" t="s">
        <v>706</v>
      </c>
      <c r="C1" s="19" t="s">
        <v>707</v>
      </c>
      <c r="D1" s="19" t="s">
        <v>708</v>
      </c>
      <c r="E1" s="19" t="s">
        <v>18</v>
      </c>
      <c r="F1" s="20"/>
      <c r="G1" s="20"/>
      <c r="H1" s="20"/>
      <c r="I1" s="20"/>
      <c r="J1" s="20"/>
      <c r="K1" s="20"/>
      <c r="L1" s="20"/>
      <c r="M1" s="20"/>
      <c r="N1" s="20"/>
      <c r="O1" s="20"/>
      <c r="P1" s="20"/>
      <c r="Q1" s="20"/>
      <c r="R1" s="20"/>
      <c r="S1" s="20"/>
      <c r="T1" s="20"/>
      <c r="U1" s="20"/>
      <c r="V1" s="20"/>
      <c r="W1" s="20"/>
      <c r="X1" s="20"/>
      <c r="Y1" s="20"/>
      <c r="Z1" s="20"/>
    </row>
    <row r="2" ht="56.25" customHeight="1">
      <c r="A2" s="21">
        <v>1.0</v>
      </c>
      <c r="B2" s="21" t="s">
        <v>1</v>
      </c>
      <c r="C2" s="22">
        <v>4.0050178E7</v>
      </c>
      <c r="D2" s="21" t="str">
        <f>VLOOKUP(C2,'PL NO.'!$B$3:$Q$374,4,0)</f>
        <v>COPPER CABLE, 25SQ.MM, 4 CORE, ARMOURED</v>
      </c>
      <c r="E2" s="22">
        <v>50.0</v>
      </c>
      <c r="F2" s="20"/>
      <c r="G2" s="20"/>
      <c r="H2" s="20"/>
      <c r="I2" s="20"/>
      <c r="J2" s="20"/>
      <c r="K2" s="20"/>
      <c r="L2" s="20"/>
      <c r="M2" s="20"/>
      <c r="N2" s="20"/>
      <c r="O2" s="20"/>
      <c r="P2" s="20"/>
      <c r="Q2" s="20"/>
      <c r="R2" s="20"/>
      <c r="S2" s="20"/>
      <c r="T2" s="20"/>
      <c r="U2" s="20"/>
      <c r="V2" s="20"/>
      <c r="W2" s="20"/>
      <c r="X2" s="20"/>
      <c r="Y2" s="20"/>
      <c r="Z2" s="20"/>
    </row>
    <row r="3" ht="56.25" customHeight="1">
      <c r="A3" s="21">
        <v>2.0</v>
      </c>
      <c r="B3" s="21" t="s">
        <v>709</v>
      </c>
      <c r="C3" s="22">
        <v>4.0120211E7</v>
      </c>
      <c r="D3" s="21" t="str">
        <f>VLOOKUP(C3,'PL NO.'!$B$3:$Q$374,4,0)</f>
        <v>COMPENSATING CABLE, 'S' TYPE, 1.5 SQ.MM, 2 CORE</v>
      </c>
      <c r="E3" s="22">
        <v>50.0</v>
      </c>
      <c r="F3" s="20"/>
      <c r="G3" s="20"/>
      <c r="H3" s="20"/>
      <c r="I3" s="20"/>
      <c r="J3" s="20"/>
      <c r="K3" s="20"/>
      <c r="L3" s="20"/>
      <c r="M3" s="20"/>
      <c r="N3" s="20"/>
      <c r="O3" s="20"/>
      <c r="P3" s="20"/>
      <c r="Q3" s="20"/>
      <c r="R3" s="20"/>
      <c r="S3" s="20"/>
      <c r="T3" s="20"/>
      <c r="U3" s="20"/>
      <c r="V3" s="20"/>
      <c r="W3" s="20"/>
      <c r="X3" s="20"/>
      <c r="Y3" s="20"/>
      <c r="Z3" s="20"/>
    </row>
    <row r="4" ht="56.25" customHeight="1">
      <c r="A4" s="21">
        <v>3.0</v>
      </c>
      <c r="B4" s="21" t="s">
        <v>1</v>
      </c>
      <c r="C4" s="22">
        <v>4.0124794E7</v>
      </c>
      <c r="D4" s="21" t="str">
        <f>VLOOKUP(C4,'PL NO.'!$B$3:$Q$374,4,0)</f>
        <v>COPPER CABLE, 1 SQ.MM TEFLON INSULATED, RED COLOUR</v>
      </c>
      <c r="E4" s="21">
        <v>100.0</v>
      </c>
      <c r="F4" s="20"/>
      <c r="G4" s="20"/>
      <c r="H4" s="20"/>
      <c r="I4" s="20"/>
      <c r="J4" s="20"/>
      <c r="K4" s="20"/>
      <c r="L4" s="20"/>
      <c r="M4" s="20"/>
      <c r="N4" s="20"/>
      <c r="O4" s="20"/>
      <c r="P4" s="20"/>
      <c r="Q4" s="20"/>
      <c r="R4" s="20"/>
      <c r="S4" s="20"/>
      <c r="T4" s="20"/>
      <c r="U4" s="20"/>
      <c r="V4" s="20"/>
      <c r="W4" s="20"/>
      <c r="X4" s="20"/>
      <c r="Y4" s="20"/>
      <c r="Z4" s="20"/>
    </row>
    <row r="5" ht="56.25" customHeight="1">
      <c r="A5" s="21">
        <v>4.0</v>
      </c>
      <c r="B5" s="21" t="s">
        <v>0</v>
      </c>
      <c r="C5" s="22">
        <v>4.01248E7</v>
      </c>
      <c r="D5" s="21" t="str">
        <f>VLOOKUP(C5,'PL NO.'!$B$3:$Q$374,4,0)</f>
        <v>BUTYL RUBBER 95SQMM,1 CORE CABLE FOR EOT CRANE</v>
      </c>
      <c r="E5" s="22">
        <v>100.0</v>
      </c>
      <c r="F5" s="20"/>
      <c r="G5" s="20"/>
      <c r="H5" s="20"/>
      <c r="I5" s="20"/>
      <c r="J5" s="20"/>
      <c r="K5" s="20"/>
      <c r="L5" s="20"/>
      <c r="M5" s="20"/>
      <c r="N5" s="20"/>
      <c r="O5" s="20"/>
      <c r="P5" s="20"/>
      <c r="Q5" s="20"/>
      <c r="R5" s="20"/>
      <c r="S5" s="20"/>
      <c r="T5" s="20"/>
      <c r="U5" s="20"/>
      <c r="V5" s="20"/>
      <c r="W5" s="20"/>
      <c r="X5" s="20"/>
      <c r="Y5" s="20"/>
      <c r="Z5" s="20"/>
    </row>
    <row r="6" ht="56.25" customHeight="1">
      <c r="A6" s="21">
        <v>5.0</v>
      </c>
      <c r="B6" s="21" t="s">
        <v>0</v>
      </c>
      <c r="C6" s="22">
        <v>4.0124861E7</v>
      </c>
      <c r="D6" s="21" t="str">
        <f>VLOOKUP(C6,'PL NO.'!$B$3:$Q$374,4,0)</f>
        <v>BUTYL RUBBER 70SQMM, 2 CORE CABLE FOR EOT CRANE</v>
      </c>
      <c r="E6" s="22">
        <v>25.0</v>
      </c>
      <c r="F6" s="20"/>
      <c r="G6" s="20"/>
      <c r="H6" s="20"/>
      <c r="I6" s="20"/>
      <c r="J6" s="20"/>
      <c r="K6" s="20"/>
      <c r="L6" s="20"/>
      <c r="M6" s="20"/>
      <c r="N6" s="20"/>
      <c r="O6" s="20"/>
      <c r="P6" s="20"/>
      <c r="Q6" s="20"/>
      <c r="R6" s="20"/>
      <c r="S6" s="20"/>
      <c r="T6" s="20"/>
      <c r="U6" s="20"/>
      <c r="V6" s="20"/>
      <c r="W6" s="20"/>
      <c r="X6" s="20"/>
      <c r="Y6" s="20"/>
      <c r="Z6" s="20"/>
    </row>
    <row r="7" ht="56.25" customHeight="1">
      <c r="A7" s="21">
        <v>6.0</v>
      </c>
      <c r="B7" s="21" t="s">
        <v>0</v>
      </c>
      <c r="C7" s="22">
        <v>4.0125555E7</v>
      </c>
      <c r="D7" s="21" t="str">
        <f>VLOOKUP(C7,'PL NO.'!$B$3:$Q$374,4,0)</f>
        <v>WATER COOLED CABLE FOR EAF</v>
      </c>
      <c r="E7" s="22">
        <v>6.0</v>
      </c>
      <c r="F7" s="20"/>
      <c r="G7" s="20"/>
      <c r="H7" s="20"/>
      <c r="I7" s="20"/>
      <c r="J7" s="20"/>
      <c r="K7" s="20"/>
      <c r="L7" s="20"/>
      <c r="M7" s="20"/>
      <c r="N7" s="20"/>
      <c r="O7" s="20"/>
      <c r="P7" s="20"/>
      <c r="Q7" s="20"/>
      <c r="R7" s="20"/>
      <c r="S7" s="20"/>
      <c r="T7" s="20"/>
      <c r="U7" s="20"/>
      <c r="V7" s="20"/>
      <c r="W7" s="20"/>
      <c r="X7" s="20"/>
      <c r="Y7" s="20"/>
      <c r="Z7" s="20"/>
    </row>
    <row r="8" ht="56.25" customHeight="1">
      <c r="A8" s="21">
        <v>7.0</v>
      </c>
      <c r="B8" s="21" t="s">
        <v>1</v>
      </c>
      <c r="C8" s="22">
        <v>4.1011466E7</v>
      </c>
      <c r="D8" s="21" t="str">
        <f>VLOOKUP(C8,'PL NO.'!$B$3:$Q$374,4,0)</f>
        <v>GLASS EPOXY SHEET</v>
      </c>
      <c r="E8" s="22">
        <v>50.0</v>
      </c>
      <c r="F8" s="20"/>
      <c r="G8" s="20"/>
      <c r="H8" s="20"/>
      <c r="I8" s="20"/>
      <c r="J8" s="20"/>
      <c r="K8" s="20"/>
      <c r="L8" s="20"/>
      <c r="M8" s="20"/>
      <c r="N8" s="20"/>
      <c r="O8" s="20"/>
      <c r="P8" s="20"/>
      <c r="Q8" s="20"/>
      <c r="R8" s="20"/>
      <c r="S8" s="20"/>
      <c r="T8" s="20"/>
      <c r="U8" s="20"/>
      <c r="V8" s="20"/>
      <c r="W8" s="20"/>
      <c r="X8" s="20"/>
      <c r="Y8" s="20"/>
      <c r="Z8" s="20"/>
    </row>
    <row r="9" ht="56.25" customHeight="1">
      <c r="A9" s="21">
        <v>8.0</v>
      </c>
      <c r="B9" s="21" t="s">
        <v>0</v>
      </c>
      <c r="C9" s="22">
        <v>4.1077763E7</v>
      </c>
      <c r="D9" s="21" t="str">
        <f>VLOOKUP(C9,'PL NO.'!$B$3:$Q$374,4,0)</f>
        <v>PRESSURE SENSITIVE ADHESIVE PVC TAPES BLUE COLOUR</v>
      </c>
      <c r="E9" s="22">
        <v>500.0</v>
      </c>
      <c r="F9" s="20"/>
      <c r="G9" s="20"/>
      <c r="H9" s="20"/>
      <c r="I9" s="20"/>
      <c r="J9" s="20"/>
      <c r="K9" s="20"/>
      <c r="L9" s="20"/>
      <c r="M9" s="20"/>
      <c r="N9" s="20"/>
      <c r="O9" s="20"/>
      <c r="P9" s="20"/>
      <c r="Q9" s="20"/>
      <c r="R9" s="20"/>
      <c r="S9" s="20"/>
      <c r="T9" s="20"/>
      <c r="U9" s="20"/>
      <c r="V9" s="20"/>
      <c r="W9" s="20"/>
      <c r="X9" s="20"/>
      <c r="Y9" s="20"/>
      <c r="Z9" s="20"/>
    </row>
    <row r="10" ht="56.25" customHeight="1">
      <c r="A10" s="21">
        <v>9.0</v>
      </c>
      <c r="B10" s="21" t="s">
        <v>2</v>
      </c>
      <c r="C10" s="22">
        <v>4.1077763E7</v>
      </c>
      <c r="D10" s="21" t="str">
        <f>VLOOKUP(C10,'PL NO.'!$B$3:$Q$374,4,0)</f>
        <v>PRESSURE SENSITIVE ADHESIVE PVC TAPES BLUE COLOUR</v>
      </c>
      <c r="E10" s="22">
        <v>800.0</v>
      </c>
      <c r="F10" s="20"/>
      <c r="G10" s="20"/>
      <c r="H10" s="20"/>
      <c r="I10" s="20"/>
      <c r="J10" s="20"/>
      <c r="K10" s="20"/>
      <c r="L10" s="20"/>
      <c r="M10" s="20"/>
      <c r="N10" s="20"/>
      <c r="O10" s="20"/>
      <c r="P10" s="20"/>
      <c r="Q10" s="20"/>
      <c r="R10" s="20"/>
      <c r="S10" s="20"/>
      <c r="T10" s="20"/>
      <c r="U10" s="20"/>
      <c r="V10" s="20"/>
      <c r="W10" s="20"/>
      <c r="X10" s="20"/>
      <c r="Y10" s="20"/>
      <c r="Z10" s="20"/>
    </row>
    <row r="11" ht="56.25" customHeight="1">
      <c r="A11" s="21">
        <v>10.0</v>
      </c>
      <c r="B11" s="21" t="s">
        <v>710</v>
      </c>
      <c r="C11" s="22">
        <v>4.1077763E7</v>
      </c>
      <c r="D11" s="21" t="str">
        <f>VLOOKUP(C11,'PL NO.'!$B$3:$Q$374,4,0)</f>
        <v>PRESSURE SENSITIVE ADHESIVE PVC TAPES BLUE COLOUR</v>
      </c>
      <c r="E11" s="22">
        <v>200.0</v>
      </c>
      <c r="F11" s="20"/>
      <c r="G11" s="20"/>
      <c r="H11" s="20"/>
      <c r="I11" s="20"/>
      <c r="J11" s="20"/>
      <c r="K11" s="20"/>
      <c r="L11" s="20"/>
      <c r="M11" s="20"/>
      <c r="N11" s="20"/>
      <c r="O11" s="20"/>
      <c r="P11" s="20"/>
      <c r="Q11" s="20"/>
      <c r="R11" s="20"/>
      <c r="S11" s="20"/>
      <c r="T11" s="20"/>
      <c r="U11" s="20"/>
      <c r="V11" s="20"/>
      <c r="W11" s="20"/>
      <c r="X11" s="20"/>
      <c r="Y11" s="20"/>
      <c r="Z11" s="20"/>
    </row>
    <row r="12" ht="56.25" customHeight="1">
      <c r="A12" s="21">
        <v>11.0</v>
      </c>
      <c r="B12" s="21" t="s">
        <v>711</v>
      </c>
      <c r="C12" s="22">
        <v>4.1077763E7</v>
      </c>
      <c r="D12" s="21" t="str">
        <f>VLOOKUP(C12,'PL NO.'!$B$3:$Q$374,4,0)</f>
        <v>PRESSURE SENSITIVE ADHESIVE PVC TAPES BLUE COLOUR</v>
      </c>
      <c r="E12" s="22">
        <v>300.0</v>
      </c>
      <c r="F12" s="20"/>
      <c r="G12" s="20"/>
      <c r="H12" s="20"/>
      <c r="I12" s="20"/>
      <c r="J12" s="20"/>
      <c r="K12" s="20"/>
      <c r="L12" s="20"/>
      <c r="M12" s="20"/>
      <c r="N12" s="20"/>
      <c r="O12" s="20"/>
      <c r="P12" s="20"/>
      <c r="Q12" s="20"/>
      <c r="R12" s="20"/>
      <c r="S12" s="20"/>
      <c r="T12" s="20"/>
      <c r="U12" s="20"/>
      <c r="V12" s="20"/>
      <c r="W12" s="20"/>
      <c r="X12" s="20"/>
      <c r="Y12" s="20"/>
      <c r="Z12" s="20"/>
    </row>
    <row r="13" ht="56.25" customHeight="1">
      <c r="A13" s="21">
        <v>12.0</v>
      </c>
      <c r="B13" s="21" t="s">
        <v>709</v>
      </c>
      <c r="C13" s="22">
        <v>4.1077763E7</v>
      </c>
      <c r="D13" s="21" t="str">
        <f>VLOOKUP(C13,'PL NO.'!$B$3:$Q$374,4,0)</f>
        <v>PRESSURE SENSITIVE ADHESIVE PVC TAPES BLUE COLOUR</v>
      </c>
      <c r="E13" s="22">
        <v>100.0</v>
      </c>
      <c r="F13" s="20"/>
      <c r="G13" s="20"/>
      <c r="H13" s="20"/>
      <c r="I13" s="20"/>
      <c r="J13" s="20"/>
      <c r="K13" s="20"/>
      <c r="L13" s="20"/>
      <c r="M13" s="20"/>
      <c r="N13" s="20"/>
      <c r="O13" s="20"/>
      <c r="P13" s="20"/>
      <c r="Q13" s="20"/>
      <c r="R13" s="20"/>
      <c r="S13" s="20"/>
      <c r="T13" s="20"/>
      <c r="U13" s="20"/>
      <c r="V13" s="20"/>
      <c r="W13" s="20"/>
      <c r="X13" s="20"/>
      <c r="Y13" s="20"/>
      <c r="Z13" s="20"/>
    </row>
    <row r="14" ht="56.25" customHeight="1">
      <c r="A14" s="21">
        <v>13.0</v>
      </c>
      <c r="B14" s="21" t="s">
        <v>0</v>
      </c>
      <c r="C14" s="22">
        <v>4.1077787E7</v>
      </c>
      <c r="D14" s="21" t="str">
        <f>VLOOKUP(C14,'PL NO.'!$B$3:$Q$374,4,0)</f>
        <v>PRESSURE SENSITIVE ADHESIVE PVC TAPES GREEN COLOUR</v>
      </c>
      <c r="E14" s="22">
        <v>500.0</v>
      </c>
      <c r="F14" s="20"/>
      <c r="G14" s="20"/>
      <c r="H14" s="20"/>
      <c r="I14" s="20"/>
      <c r="J14" s="20"/>
      <c r="K14" s="20"/>
      <c r="L14" s="20"/>
      <c r="M14" s="20"/>
      <c r="N14" s="20"/>
      <c r="O14" s="20"/>
      <c r="P14" s="20"/>
      <c r="Q14" s="20"/>
      <c r="R14" s="20"/>
      <c r="S14" s="20"/>
      <c r="T14" s="20"/>
      <c r="U14" s="20"/>
      <c r="V14" s="20"/>
      <c r="W14" s="20"/>
      <c r="X14" s="20"/>
      <c r="Y14" s="20"/>
      <c r="Z14" s="20"/>
    </row>
    <row r="15" ht="56.25" customHeight="1">
      <c r="A15" s="21">
        <v>14.0</v>
      </c>
      <c r="B15" s="21" t="s">
        <v>710</v>
      </c>
      <c r="C15" s="22">
        <v>4.1077787E7</v>
      </c>
      <c r="D15" s="21" t="str">
        <f>VLOOKUP(C15,'PL NO.'!$B$3:$Q$374,4,0)</f>
        <v>PRESSURE SENSITIVE ADHESIVE PVC TAPES GREEN COLOUR</v>
      </c>
      <c r="E15" s="22">
        <v>200.0</v>
      </c>
      <c r="F15" s="20"/>
      <c r="G15" s="20"/>
      <c r="H15" s="20"/>
      <c r="I15" s="20"/>
      <c r="J15" s="20"/>
      <c r="K15" s="20"/>
      <c r="L15" s="20"/>
      <c r="M15" s="20"/>
      <c r="N15" s="20"/>
      <c r="O15" s="20"/>
      <c r="P15" s="20"/>
      <c r="Q15" s="20"/>
      <c r="R15" s="20"/>
      <c r="S15" s="20"/>
      <c r="T15" s="20"/>
      <c r="U15" s="20"/>
      <c r="V15" s="20"/>
      <c r="W15" s="20"/>
      <c r="X15" s="20"/>
      <c r="Y15" s="20"/>
      <c r="Z15" s="20"/>
    </row>
    <row r="16" ht="56.25" customHeight="1">
      <c r="A16" s="21">
        <v>15.0</v>
      </c>
      <c r="B16" s="21" t="s">
        <v>0</v>
      </c>
      <c r="C16" s="22">
        <v>4.1077805E7</v>
      </c>
      <c r="D16" s="21" t="str">
        <f>VLOOKUP(C16,'PL NO.'!$B$3:$Q$374,4,0)</f>
        <v>PRESSURE SENSITIVE ADHESIVE PVC TAPES MULTI COLOUR</v>
      </c>
      <c r="E16" s="22">
        <v>100.0</v>
      </c>
      <c r="F16" s="20"/>
      <c r="G16" s="20"/>
      <c r="H16" s="20"/>
      <c r="I16" s="20"/>
      <c r="J16" s="20"/>
      <c r="K16" s="20"/>
      <c r="L16" s="20"/>
      <c r="M16" s="20"/>
      <c r="N16" s="20"/>
      <c r="O16" s="20"/>
      <c r="P16" s="20"/>
      <c r="Q16" s="20"/>
      <c r="R16" s="20"/>
      <c r="S16" s="20"/>
      <c r="T16" s="20"/>
      <c r="U16" s="20"/>
      <c r="V16" s="20"/>
      <c r="W16" s="20"/>
      <c r="X16" s="20"/>
      <c r="Y16" s="20"/>
      <c r="Z16" s="20"/>
    </row>
    <row r="17" ht="56.25" customHeight="1">
      <c r="A17" s="21">
        <v>16.0</v>
      </c>
      <c r="B17" s="21" t="s">
        <v>709</v>
      </c>
      <c r="C17" s="22">
        <v>4.2013847E7</v>
      </c>
      <c r="D17" s="21" t="str">
        <f>VLOOKUP(C17,'PL NO.'!$B$3:$Q$374,4,0)</f>
        <v>INDUSTRIAL POWER PLUGS INCLINED HANDLE 5 PIN(3P+N+E)</v>
      </c>
      <c r="E17" s="22">
        <v>3.0</v>
      </c>
      <c r="F17" s="20"/>
      <c r="G17" s="20"/>
      <c r="H17" s="20"/>
      <c r="I17" s="20"/>
      <c r="J17" s="20"/>
      <c r="K17" s="20"/>
      <c r="L17" s="20"/>
      <c r="M17" s="20"/>
      <c r="N17" s="20"/>
      <c r="O17" s="20"/>
      <c r="P17" s="20"/>
      <c r="Q17" s="20"/>
      <c r="R17" s="20"/>
      <c r="S17" s="20"/>
      <c r="T17" s="20"/>
      <c r="U17" s="20"/>
      <c r="V17" s="20"/>
      <c r="W17" s="20"/>
      <c r="X17" s="20"/>
      <c r="Y17" s="20"/>
      <c r="Z17" s="20"/>
    </row>
    <row r="18" ht="56.25" customHeight="1">
      <c r="A18" s="21">
        <v>17.0</v>
      </c>
      <c r="B18" s="21" t="s">
        <v>1</v>
      </c>
      <c r="C18" s="22">
        <v>4.2020116E7</v>
      </c>
      <c r="D18" s="21" t="str">
        <f>VLOOKUP(C18,'PL NO.'!$B$3:$Q$374,4,0)</f>
        <v>BCH LIMIT SWITCH</v>
      </c>
      <c r="E18" s="22">
        <v>5.0</v>
      </c>
      <c r="F18" s="20"/>
      <c r="G18" s="20"/>
      <c r="H18" s="20"/>
      <c r="I18" s="20"/>
      <c r="J18" s="20"/>
      <c r="K18" s="20"/>
      <c r="L18" s="20"/>
      <c r="M18" s="20"/>
      <c r="N18" s="20"/>
      <c r="O18" s="20"/>
      <c r="P18" s="20"/>
      <c r="Q18" s="20"/>
      <c r="R18" s="20"/>
      <c r="S18" s="20"/>
      <c r="T18" s="20"/>
      <c r="U18" s="20"/>
      <c r="V18" s="20"/>
      <c r="W18" s="20"/>
      <c r="X18" s="20"/>
      <c r="Y18" s="20"/>
      <c r="Z18" s="20"/>
    </row>
    <row r="19" ht="56.25" customHeight="1">
      <c r="A19" s="21">
        <v>18.0</v>
      </c>
      <c r="B19" s="21" t="s">
        <v>710</v>
      </c>
      <c r="C19" s="22">
        <v>4.2020116E7</v>
      </c>
      <c r="D19" s="21" t="str">
        <f>VLOOKUP(C19,'PL NO.'!$B$3:$Q$374,4,0)</f>
        <v>BCH LIMIT SWITCH</v>
      </c>
      <c r="E19" s="22">
        <v>5.0</v>
      </c>
      <c r="F19" s="20"/>
      <c r="G19" s="20"/>
      <c r="H19" s="20"/>
      <c r="I19" s="20"/>
      <c r="J19" s="20"/>
      <c r="K19" s="20"/>
      <c r="L19" s="20"/>
      <c r="M19" s="20"/>
      <c r="N19" s="20"/>
      <c r="O19" s="20"/>
      <c r="P19" s="20"/>
      <c r="Q19" s="20"/>
      <c r="R19" s="20"/>
      <c r="S19" s="20"/>
      <c r="T19" s="20"/>
      <c r="U19" s="20"/>
      <c r="V19" s="20"/>
      <c r="W19" s="20"/>
      <c r="X19" s="20"/>
      <c r="Y19" s="20"/>
      <c r="Z19" s="20"/>
    </row>
    <row r="20" ht="56.25" customHeight="1">
      <c r="A20" s="21">
        <v>19.0</v>
      </c>
      <c r="B20" s="21" t="s">
        <v>711</v>
      </c>
      <c r="C20" s="22">
        <v>4.2020116E7</v>
      </c>
      <c r="D20" s="21" t="str">
        <f>VLOOKUP(C20,'PL NO.'!$B$3:$Q$374,4,0)</f>
        <v>BCH LIMIT SWITCH</v>
      </c>
      <c r="E20" s="22">
        <v>5.0</v>
      </c>
      <c r="F20" s="20"/>
      <c r="G20" s="20"/>
      <c r="H20" s="20"/>
      <c r="I20" s="20"/>
      <c r="J20" s="20"/>
      <c r="K20" s="20"/>
      <c r="L20" s="20"/>
      <c r="M20" s="20"/>
      <c r="N20" s="20"/>
      <c r="O20" s="20"/>
      <c r="P20" s="20"/>
      <c r="Q20" s="20"/>
      <c r="R20" s="20"/>
      <c r="S20" s="20"/>
      <c r="T20" s="20"/>
      <c r="U20" s="20"/>
      <c r="V20" s="20"/>
      <c r="W20" s="20"/>
      <c r="X20" s="20"/>
      <c r="Y20" s="20"/>
      <c r="Z20" s="20"/>
    </row>
    <row r="21" ht="56.25" customHeight="1">
      <c r="A21" s="21">
        <v>20.0</v>
      </c>
      <c r="B21" s="21" t="s">
        <v>709</v>
      </c>
      <c r="C21" s="22">
        <v>4.2020116E7</v>
      </c>
      <c r="D21" s="21" t="str">
        <f>VLOOKUP(C21,'PL NO.'!$B$3:$Q$374,4,0)</f>
        <v>BCH LIMIT SWITCH</v>
      </c>
      <c r="E21" s="22">
        <v>5.0</v>
      </c>
      <c r="F21" s="20"/>
      <c r="G21" s="20"/>
      <c r="H21" s="20"/>
      <c r="I21" s="20"/>
      <c r="J21" s="20"/>
      <c r="K21" s="20"/>
      <c r="L21" s="20"/>
      <c r="M21" s="20"/>
      <c r="N21" s="20"/>
      <c r="O21" s="20"/>
      <c r="P21" s="20"/>
      <c r="Q21" s="20"/>
      <c r="R21" s="20"/>
      <c r="S21" s="20"/>
      <c r="T21" s="20"/>
      <c r="U21" s="20"/>
      <c r="V21" s="20"/>
      <c r="W21" s="20"/>
      <c r="X21" s="20"/>
      <c r="Y21" s="20"/>
      <c r="Z21" s="20"/>
    </row>
    <row r="22" ht="56.25" customHeight="1">
      <c r="A22" s="21">
        <v>21.0</v>
      </c>
      <c r="B22" s="21" t="s">
        <v>1</v>
      </c>
      <c r="C22" s="22">
        <v>4.2020128E7</v>
      </c>
      <c r="D22" s="21" t="str">
        <f>VLOOKUP(C22,'PL NO.'!$B$3:$Q$374,4,0)</f>
        <v>JAI BALAJI LIMIT SWITCH</v>
      </c>
      <c r="E22" s="22">
        <v>5.0</v>
      </c>
      <c r="F22" s="20"/>
      <c r="G22" s="20"/>
      <c r="H22" s="20"/>
      <c r="I22" s="20"/>
      <c r="J22" s="20"/>
      <c r="K22" s="20"/>
      <c r="L22" s="20"/>
      <c r="M22" s="20"/>
      <c r="N22" s="20"/>
      <c r="O22" s="20"/>
      <c r="P22" s="20"/>
      <c r="Q22" s="20"/>
      <c r="R22" s="20"/>
      <c r="S22" s="20"/>
      <c r="T22" s="20"/>
      <c r="U22" s="20"/>
      <c r="V22" s="20"/>
      <c r="W22" s="20"/>
      <c r="X22" s="20"/>
      <c r="Y22" s="20"/>
      <c r="Z22" s="20"/>
    </row>
    <row r="23" ht="56.25" customHeight="1">
      <c r="A23" s="21">
        <v>22.0</v>
      </c>
      <c r="B23" s="21" t="s">
        <v>2</v>
      </c>
      <c r="C23" s="22">
        <v>4.2020128E7</v>
      </c>
      <c r="D23" s="21" t="str">
        <f>VLOOKUP(C23,'PL NO.'!$B$3:$Q$374,4,0)</f>
        <v>JAI BALAJI LIMIT SWITCH</v>
      </c>
      <c r="E23" s="22">
        <v>10.0</v>
      </c>
      <c r="F23" s="20"/>
      <c r="G23" s="20"/>
      <c r="H23" s="20"/>
      <c r="I23" s="20"/>
      <c r="J23" s="20"/>
      <c r="K23" s="20"/>
      <c r="L23" s="20"/>
      <c r="M23" s="20"/>
      <c r="N23" s="20"/>
      <c r="O23" s="20"/>
      <c r="P23" s="20"/>
      <c r="Q23" s="20"/>
      <c r="R23" s="20"/>
      <c r="S23" s="20"/>
      <c r="T23" s="20"/>
      <c r="U23" s="20"/>
      <c r="V23" s="20"/>
      <c r="W23" s="20"/>
      <c r="X23" s="20"/>
      <c r="Y23" s="20"/>
      <c r="Z23" s="20"/>
    </row>
    <row r="24" ht="56.25" customHeight="1">
      <c r="A24" s="21">
        <v>23.0</v>
      </c>
      <c r="B24" s="21" t="s">
        <v>710</v>
      </c>
      <c r="C24" s="22">
        <v>4.2020128E7</v>
      </c>
      <c r="D24" s="21" t="str">
        <f>VLOOKUP(C24,'PL NO.'!$B$3:$Q$374,4,0)</f>
        <v>JAI BALAJI LIMIT SWITCH</v>
      </c>
      <c r="E24" s="22">
        <v>5.0</v>
      </c>
      <c r="F24" s="20"/>
      <c r="G24" s="20"/>
      <c r="H24" s="20"/>
      <c r="I24" s="20"/>
      <c r="J24" s="20"/>
      <c r="K24" s="20"/>
      <c r="L24" s="20"/>
      <c r="M24" s="20"/>
      <c r="N24" s="20"/>
      <c r="O24" s="20"/>
      <c r="P24" s="20"/>
      <c r="Q24" s="20"/>
      <c r="R24" s="20"/>
      <c r="S24" s="20"/>
      <c r="T24" s="20"/>
      <c r="U24" s="20"/>
      <c r="V24" s="20"/>
      <c r="W24" s="20"/>
      <c r="X24" s="20"/>
      <c r="Y24" s="20"/>
      <c r="Z24" s="20"/>
    </row>
    <row r="25" ht="56.25" customHeight="1">
      <c r="A25" s="21">
        <v>24.0</v>
      </c>
      <c r="B25" s="21" t="s">
        <v>711</v>
      </c>
      <c r="C25" s="22">
        <v>4.2020128E7</v>
      </c>
      <c r="D25" s="21" t="str">
        <f>VLOOKUP(C25,'PL NO.'!$B$3:$Q$374,4,0)</f>
        <v>JAI BALAJI LIMIT SWITCH</v>
      </c>
      <c r="E25" s="22">
        <v>10.0</v>
      </c>
      <c r="F25" s="20"/>
      <c r="G25" s="20"/>
      <c r="H25" s="20"/>
      <c r="I25" s="20"/>
      <c r="J25" s="20"/>
      <c r="K25" s="20"/>
      <c r="L25" s="20"/>
      <c r="M25" s="20"/>
      <c r="N25" s="20"/>
      <c r="O25" s="20"/>
      <c r="P25" s="20"/>
      <c r="Q25" s="20"/>
      <c r="R25" s="20"/>
      <c r="S25" s="20"/>
      <c r="T25" s="20"/>
      <c r="U25" s="20"/>
      <c r="V25" s="20"/>
      <c r="W25" s="20"/>
      <c r="X25" s="20"/>
      <c r="Y25" s="20"/>
      <c r="Z25" s="20"/>
    </row>
    <row r="26" ht="56.25" customHeight="1">
      <c r="A26" s="21">
        <v>25.0</v>
      </c>
      <c r="B26" s="21" t="s">
        <v>709</v>
      </c>
      <c r="C26" s="22">
        <v>4.2020128E7</v>
      </c>
      <c r="D26" s="21" t="str">
        <f>VLOOKUP(C26,'PL NO.'!$B$3:$Q$374,4,0)</f>
        <v>JAI BALAJI LIMIT SWITCH</v>
      </c>
      <c r="E26" s="22">
        <v>5.0</v>
      </c>
      <c r="F26" s="20"/>
      <c r="G26" s="20"/>
      <c r="H26" s="20"/>
      <c r="I26" s="20"/>
      <c r="J26" s="20"/>
      <c r="K26" s="20"/>
      <c r="L26" s="20"/>
      <c r="M26" s="20"/>
      <c r="N26" s="20"/>
      <c r="O26" s="20"/>
      <c r="P26" s="20"/>
      <c r="Q26" s="20"/>
      <c r="R26" s="20"/>
      <c r="S26" s="20"/>
      <c r="T26" s="20"/>
      <c r="U26" s="20"/>
      <c r="V26" s="20"/>
      <c r="W26" s="20"/>
      <c r="X26" s="20"/>
      <c r="Y26" s="20"/>
      <c r="Z26" s="20"/>
    </row>
    <row r="27" ht="56.25" customHeight="1">
      <c r="A27" s="21">
        <v>26.0</v>
      </c>
      <c r="B27" s="21" t="s">
        <v>2</v>
      </c>
      <c r="C27" s="22">
        <v>4.2022204E7</v>
      </c>
      <c r="D27" s="21" t="str">
        <f>VLOOKUP(C27,'PL NO.'!$B$3:$Q$374,4,0)</f>
        <v>MPCB, RATED CURRENT 630A, CURRENT SETTING 500- 630A</v>
      </c>
      <c r="E27" s="22">
        <v>1.0</v>
      </c>
      <c r="F27" s="20"/>
      <c r="G27" s="20"/>
      <c r="H27" s="20"/>
      <c r="I27" s="20"/>
      <c r="J27" s="20"/>
      <c r="K27" s="20"/>
      <c r="L27" s="20"/>
      <c r="M27" s="20"/>
      <c r="N27" s="20"/>
      <c r="O27" s="20"/>
      <c r="P27" s="20"/>
      <c r="Q27" s="20"/>
      <c r="R27" s="20"/>
      <c r="S27" s="20"/>
      <c r="T27" s="20"/>
      <c r="U27" s="20"/>
      <c r="V27" s="20"/>
      <c r="W27" s="20"/>
      <c r="X27" s="20"/>
      <c r="Y27" s="20"/>
      <c r="Z27" s="20"/>
    </row>
    <row r="28" ht="56.25" customHeight="1">
      <c r="A28" s="21">
        <v>27.0</v>
      </c>
      <c r="B28" s="21" t="s">
        <v>711</v>
      </c>
      <c r="C28" s="22">
        <v>4.2022289E7</v>
      </c>
      <c r="D28" s="21" t="str">
        <f>VLOOKUP(C28,'PL NO.'!$B$3:$Q$374,4,0)</f>
        <v>POWER CONTACTOR, MECHANICALLY INTERLOCKED FORWARD REVERSE, 63A, 110V AC</v>
      </c>
      <c r="E28" s="22">
        <v>2.0</v>
      </c>
      <c r="F28" s="20"/>
      <c r="G28" s="20"/>
      <c r="H28" s="20"/>
      <c r="I28" s="20"/>
      <c r="J28" s="20"/>
      <c r="K28" s="20"/>
      <c r="L28" s="20"/>
      <c r="M28" s="20"/>
      <c r="N28" s="20"/>
      <c r="O28" s="20"/>
      <c r="P28" s="20"/>
      <c r="Q28" s="20"/>
      <c r="R28" s="20"/>
      <c r="S28" s="20"/>
      <c r="T28" s="20"/>
      <c r="U28" s="20"/>
      <c r="V28" s="20"/>
      <c r="W28" s="20"/>
      <c r="X28" s="20"/>
      <c r="Y28" s="20"/>
      <c r="Z28" s="20"/>
    </row>
    <row r="29" ht="56.25" customHeight="1">
      <c r="A29" s="21">
        <v>28.0</v>
      </c>
      <c r="B29" s="21" t="s">
        <v>2</v>
      </c>
      <c r="C29" s="22">
        <v>4.202666E7</v>
      </c>
      <c r="D29" s="21" t="str">
        <f>VLOOKUP(C29,'PL NO.'!$B$3:$Q$374,4,0)</f>
        <v>MCCB, RATED CURRENT 250A, CURRENT RATING 250A</v>
      </c>
      <c r="E29" s="22">
        <v>2.0</v>
      </c>
      <c r="F29" s="20"/>
      <c r="G29" s="20"/>
      <c r="H29" s="20"/>
      <c r="I29" s="20"/>
      <c r="J29" s="20"/>
      <c r="K29" s="20"/>
      <c r="L29" s="20"/>
      <c r="M29" s="20"/>
      <c r="N29" s="20"/>
      <c r="O29" s="20"/>
      <c r="P29" s="20"/>
      <c r="Q29" s="20"/>
      <c r="R29" s="20"/>
      <c r="S29" s="20"/>
      <c r="T29" s="20"/>
      <c r="U29" s="20"/>
      <c r="V29" s="20"/>
      <c r="W29" s="20"/>
      <c r="X29" s="20"/>
      <c r="Y29" s="20"/>
      <c r="Z29" s="20"/>
    </row>
    <row r="30" ht="56.25" customHeight="1">
      <c r="A30" s="21">
        <v>29.0</v>
      </c>
      <c r="B30" s="21" t="s">
        <v>2</v>
      </c>
      <c r="C30" s="22">
        <v>4.2027329E7</v>
      </c>
      <c r="D30" s="21" t="str">
        <f>VLOOKUP(C30,'PL NO.'!$B$3:$Q$374,4,0)</f>
        <v>MCB 32AMPS, 3 POLE</v>
      </c>
      <c r="E30" s="22">
        <v>1.0</v>
      </c>
      <c r="F30" s="20"/>
      <c r="G30" s="20"/>
      <c r="H30" s="20"/>
      <c r="I30" s="20"/>
      <c r="J30" s="20"/>
      <c r="K30" s="20"/>
      <c r="L30" s="20"/>
      <c r="M30" s="20"/>
      <c r="N30" s="20"/>
      <c r="O30" s="20"/>
      <c r="P30" s="20"/>
      <c r="Q30" s="20"/>
      <c r="R30" s="20"/>
      <c r="S30" s="20"/>
      <c r="T30" s="20"/>
      <c r="U30" s="20"/>
      <c r="V30" s="20"/>
      <c r="W30" s="20"/>
      <c r="X30" s="20"/>
      <c r="Y30" s="20"/>
      <c r="Z30" s="20"/>
    </row>
    <row r="31" ht="56.25" customHeight="1">
      <c r="A31" s="21">
        <v>30.0</v>
      </c>
      <c r="B31" s="21" t="s">
        <v>1</v>
      </c>
      <c r="C31" s="22">
        <v>4.2027913E7</v>
      </c>
      <c r="D31" s="21" t="str">
        <f>VLOOKUP(C31,'PL NO.'!$B$3:$Q$374,4,0)</f>
        <v>POWER CONTACTOR, MECHANICALLY INTERLOCKED FORWARD REVERSE, 16A, 24 AC</v>
      </c>
      <c r="E31" s="22">
        <v>5.0</v>
      </c>
      <c r="F31" s="20"/>
      <c r="G31" s="20"/>
      <c r="H31" s="20"/>
      <c r="I31" s="20"/>
      <c r="J31" s="20"/>
      <c r="K31" s="20"/>
      <c r="L31" s="20"/>
      <c r="M31" s="20"/>
      <c r="N31" s="20"/>
      <c r="O31" s="20"/>
      <c r="P31" s="20"/>
      <c r="Q31" s="20"/>
      <c r="R31" s="20"/>
      <c r="S31" s="20"/>
      <c r="T31" s="20"/>
      <c r="U31" s="20"/>
      <c r="V31" s="20"/>
      <c r="W31" s="20"/>
      <c r="X31" s="20"/>
      <c r="Y31" s="20"/>
      <c r="Z31" s="20"/>
    </row>
    <row r="32" ht="56.25" customHeight="1">
      <c r="A32" s="21">
        <v>31.0</v>
      </c>
      <c r="B32" s="21" t="s">
        <v>2</v>
      </c>
      <c r="C32" s="22">
        <v>4.2027913E7</v>
      </c>
      <c r="D32" s="21" t="str">
        <f>VLOOKUP(C32,'PL NO.'!$B$3:$Q$374,4,0)</f>
        <v>POWER CONTACTOR, MECHANICALLY INTERLOCKED FORWARD REVERSE, 16A, 24 AC</v>
      </c>
      <c r="E32" s="22">
        <v>2.0</v>
      </c>
      <c r="F32" s="20"/>
      <c r="G32" s="20"/>
      <c r="H32" s="20"/>
      <c r="I32" s="20"/>
      <c r="J32" s="20"/>
      <c r="K32" s="20"/>
      <c r="L32" s="20"/>
      <c r="M32" s="20"/>
      <c r="N32" s="20"/>
      <c r="O32" s="20"/>
      <c r="P32" s="20"/>
      <c r="Q32" s="20"/>
      <c r="R32" s="20"/>
      <c r="S32" s="20"/>
      <c r="T32" s="20"/>
      <c r="U32" s="20"/>
      <c r="V32" s="20"/>
      <c r="W32" s="20"/>
      <c r="X32" s="20"/>
      <c r="Y32" s="20"/>
      <c r="Z32" s="20"/>
    </row>
    <row r="33" ht="56.25" customHeight="1">
      <c r="A33" s="21">
        <v>32.0</v>
      </c>
      <c r="B33" s="21" t="s">
        <v>2</v>
      </c>
      <c r="C33" s="22">
        <v>4.2060138E7</v>
      </c>
      <c r="D33" s="21" t="str">
        <f>VLOOKUP(C33,'PL NO.'!$B$3:$Q$374,4,0)</f>
        <v>MCB 2A, 1 POLE</v>
      </c>
      <c r="E33" s="22">
        <v>10.0</v>
      </c>
      <c r="F33" s="20"/>
      <c r="G33" s="20"/>
      <c r="H33" s="20"/>
      <c r="I33" s="20"/>
      <c r="J33" s="20"/>
      <c r="K33" s="20"/>
      <c r="L33" s="20"/>
      <c r="M33" s="20"/>
      <c r="N33" s="20"/>
      <c r="O33" s="20"/>
      <c r="P33" s="20"/>
      <c r="Q33" s="20"/>
      <c r="R33" s="20"/>
      <c r="S33" s="20"/>
      <c r="T33" s="20"/>
      <c r="U33" s="20"/>
      <c r="V33" s="20"/>
      <c r="W33" s="20"/>
      <c r="X33" s="20"/>
      <c r="Y33" s="20"/>
      <c r="Z33" s="20"/>
    </row>
    <row r="34" ht="56.25" customHeight="1">
      <c r="A34" s="21">
        <v>33.0</v>
      </c>
      <c r="B34" s="21" t="s">
        <v>710</v>
      </c>
      <c r="C34" s="22">
        <v>4.2089025E7</v>
      </c>
      <c r="D34" s="21" t="str">
        <f>VLOOKUP(C34,'PL NO.'!$B$3:$Q$374,4,0)</f>
        <v>HRC FUSES 32A</v>
      </c>
      <c r="E34" s="22">
        <v>5.0</v>
      </c>
      <c r="F34" s="20"/>
      <c r="G34" s="20"/>
      <c r="H34" s="20"/>
      <c r="I34" s="20"/>
      <c r="J34" s="20"/>
      <c r="K34" s="20"/>
      <c r="L34" s="20"/>
      <c r="M34" s="20"/>
      <c r="N34" s="20"/>
      <c r="O34" s="20"/>
      <c r="P34" s="20"/>
      <c r="Q34" s="20"/>
      <c r="R34" s="20"/>
      <c r="S34" s="20"/>
      <c r="T34" s="20"/>
      <c r="U34" s="20"/>
      <c r="V34" s="20"/>
      <c r="W34" s="20"/>
      <c r="X34" s="20"/>
      <c r="Y34" s="20"/>
      <c r="Z34" s="20"/>
    </row>
    <row r="35" ht="56.25" customHeight="1">
      <c r="A35" s="21">
        <v>34.0</v>
      </c>
      <c r="B35" s="21" t="s">
        <v>710</v>
      </c>
      <c r="C35" s="22">
        <v>4.2089037E7</v>
      </c>
      <c r="D35" s="21" t="str">
        <f>VLOOKUP(C35,'PL NO.'!$B$3:$Q$374,4,0)</f>
        <v>HRC FUSES 63A</v>
      </c>
      <c r="E35" s="22">
        <v>5.0</v>
      </c>
      <c r="F35" s="20"/>
      <c r="G35" s="20"/>
      <c r="H35" s="20"/>
      <c r="I35" s="20"/>
      <c r="J35" s="20"/>
      <c r="K35" s="20"/>
      <c r="L35" s="20"/>
      <c r="M35" s="20"/>
      <c r="N35" s="20"/>
      <c r="O35" s="20"/>
      <c r="P35" s="20"/>
      <c r="Q35" s="20"/>
      <c r="R35" s="20"/>
      <c r="S35" s="20"/>
      <c r="T35" s="20"/>
      <c r="U35" s="20"/>
      <c r="V35" s="20"/>
      <c r="W35" s="20"/>
      <c r="X35" s="20"/>
      <c r="Y35" s="20"/>
      <c r="Z35" s="20"/>
    </row>
    <row r="36" ht="56.25" customHeight="1">
      <c r="A36" s="21">
        <v>35.0</v>
      </c>
      <c r="B36" s="21" t="s">
        <v>1</v>
      </c>
      <c r="C36" s="22">
        <v>4.211951E7</v>
      </c>
      <c r="D36" s="21" t="str">
        <f>VLOOKUP(C36,'PL NO.'!$B$3:$Q$374,4,0)</f>
        <v>10 WATT LED TUBE LIGHT</v>
      </c>
      <c r="E36" s="22">
        <v>20.0</v>
      </c>
      <c r="F36" s="20"/>
      <c r="G36" s="20"/>
      <c r="H36" s="20"/>
      <c r="I36" s="20"/>
      <c r="J36" s="20"/>
      <c r="K36" s="20"/>
      <c r="L36" s="20"/>
      <c r="M36" s="20"/>
      <c r="N36" s="20"/>
      <c r="O36" s="20"/>
      <c r="P36" s="20"/>
      <c r="Q36" s="20"/>
      <c r="R36" s="20"/>
      <c r="S36" s="20"/>
      <c r="T36" s="20"/>
      <c r="U36" s="20"/>
      <c r="V36" s="20"/>
      <c r="W36" s="20"/>
      <c r="X36" s="20"/>
      <c r="Y36" s="20"/>
      <c r="Z36" s="20"/>
    </row>
    <row r="37" ht="56.25" customHeight="1">
      <c r="A37" s="21">
        <v>36.0</v>
      </c>
      <c r="B37" s="21" t="s">
        <v>2</v>
      </c>
      <c r="C37" s="22">
        <v>4.211951E7</v>
      </c>
      <c r="D37" s="21" t="str">
        <f>VLOOKUP(C37,'PL NO.'!$B$3:$Q$374,4,0)</f>
        <v>10 WATT LED TUBE LIGHT</v>
      </c>
      <c r="E37" s="23">
        <v>5.0</v>
      </c>
      <c r="F37" s="20"/>
      <c r="G37" s="20"/>
      <c r="H37" s="20"/>
      <c r="I37" s="20"/>
      <c r="J37" s="20"/>
      <c r="K37" s="20"/>
      <c r="L37" s="20"/>
      <c r="M37" s="20"/>
      <c r="N37" s="20"/>
      <c r="O37" s="20"/>
      <c r="P37" s="20"/>
      <c r="Q37" s="20"/>
      <c r="R37" s="20"/>
      <c r="S37" s="20"/>
      <c r="T37" s="20"/>
      <c r="U37" s="20"/>
      <c r="V37" s="20"/>
      <c r="W37" s="20"/>
      <c r="X37" s="20"/>
      <c r="Y37" s="20"/>
      <c r="Z37" s="20"/>
    </row>
    <row r="38" ht="56.25" customHeight="1">
      <c r="A38" s="21">
        <v>37.0</v>
      </c>
      <c r="B38" s="21" t="s">
        <v>1</v>
      </c>
      <c r="C38" s="22">
        <v>4.3010076E7</v>
      </c>
      <c r="D38" s="21" t="str">
        <f>VLOOKUP(C38,'PL NO.'!$B$3:$Q$374,4,0)</f>
        <v>HEATER CARTRIDGES 1500W FOR CORE BAKING</v>
      </c>
      <c r="E38" s="22">
        <v>50.0</v>
      </c>
      <c r="F38" s="20"/>
      <c r="G38" s="20"/>
      <c r="H38" s="20"/>
      <c r="I38" s="20"/>
      <c r="J38" s="20"/>
      <c r="K38" s="20"/>
      <c r="L38" s="20"/>
      <c r="M38" s="20"/>
      <c r="N38" s="20"/>
      <c r="O38" s="20"/>
      <c r="P38" s="20"/>
      <c r="Q38" s="20"/>
      <c r="R38" s="20"/>
      <c r="S38" s="20"/>
      <c r="T38" s="20"/>
      <c r="U38" s="20"/>
      <c r="V38" s="20"/>
      <c r="W38" s="20"/>
      <c r="X38" s="20"/>
      <c r="Y38" s="20"/>
      <c r="Z38" s="20"/>
    </row>
    <row r="39" ht="56.25" customHeight="1">
      <c r="A39" s="21">
        <v>38.0</v>
      </c>
      <c r="B39" s="21" t="s">
        <v>0</v>
      </c>
      <c r="C39" s="22">
        <v>4.3080005E7</v>
      </c>
      <c r="D39" s="21" t="str">
        <f>VLOOKUP(C39,'PL NO.'!$B$3:$Q$374,4,0)</f>
        <v>"N" TYPE DUPLEX THERMOCOUPLE FOR LPH</v>
      </c>
      <c r="E39" s="22">
        <v>4.0</v>
      </c>
      <c r="F39" s="20"/>
      <c r="G39" s="20"/>
      <c r="H39" s="20"/>
      <c r="I39" s="20"/>
      <c r="J39" s="20"/>
      <c r="K39" s="20"/>
      <c r="L39" s="20"/>
      <c r="M39" s="20"/>
      <c r="N39" s="20"/>
      <c r="O39" s="20"/>
      <c r="P39" s="20"/>
      <c r="Q39" s="20"/>
      <c r="R39" s="20"/>
      <c r="S39" s="20"/>
      <c r="T39" s="20"/>
      <c r="U39" s="20"/>
      <c r="V39" s="20"/>
      <c r="W39" s="20"/>
      <c r="X39" s="20"/>
      <c r="Y39" s="20"/>
      <c r="Z39" s="20"/>
    </row>
    <row r="40" ht="56.25" customHeight="1">
      <c r="A40" s="21">
        <v>39.0</v>
      </c>
      <c r="B40" s="21" t="s">
        <v>2</v>
      </c>
      <c r="C40" s="22">
        <v>4.3900288E7</v>
      </c>
      <c r="D40" s="21" t="str">
        <f>VLOOKUP(C40,'PL NO.'!$B$3:$Q$374,4,0)</f>
        <v>MPCB, RATED CURRENT 4A, CURRENT SETTING 2.4- 4A</v>
      </c>
      <c r="E40" s="22">
        <v>3.0</v>
      </c>
      <c r="F40" s="20"/>
      <c r="G40" s="20"/>
      <c r="H40" s="20"/>
      <c r="I40" s="20"/>
      <c r="J40" s="20"/>
      <c r="K40" s="20"/>
      <c r="L40" s="20"/>
      <c r="M40" s="20"/>
      <c r="N40" s="20"/>
      <c r="O40" s="20"/>
      <c r="P40" s="20"/>
      <c r="Q40" s="20"/>
      <c r="R40" s="20"/>
      <c r="S40" s="20"/>
      <c r="T40" s="20"/>
      <c r="U40" s="20"/>
      <c r="V40" s="20"/>
      <c r="W40" s="20"/>
      <c r="X40" s="20"/>
      <c r="Y40" s="20"/>
      <c r="Z40" s="20"/>
    </row>
    <row r="41" ht="56.25" customHeight="1">
      <c r="A41" s="21">
        <v>40.0</v>
      </c>
      <c r="B41" s="21" t="s">
        <v>711</v>
      </c>
      <c r="C41" s="22">
        <v>4.3900288E7</v>
      </c>
      <c r="D41" s="21" t="str">
        <f>VLOOKUP(C41,'PL NO.'!$B$3:$Q$374,4,0)</f>
        <v>MPCB, RATED CURRENT 4A, CURRENT SETTING 2.4- 4A</v>
      </c>
      <c r="E41" s="22">
        <v>5.0</v>
      </c>
      <c r="F41" s="20"/>
      <c r="G41" s="20"/>
      <c r="H41" s="20"/>
      <c r="I41" s="20"/>
      <c r="J41" s="20"/>
      <c r="K41" s="20"/>
      <c r="L41" s="20"/>
      <c r="M41" s="20"/>
      <c r="N41" s="20"/>
      <c r="O41" s="20"/>
      <c r="P41" s="20"/>
      <c r="Q41" s="20"/>
      <c r="R41" s="20"/>
      <c r="S41" s="20"/>
      <c r="T41" s="20"/>
      <c r="U41" s="20"/>
      <c r="V41" s="20"/>
      <c r="W41" s="20"/>
      <c r="X41" s="20"/>
      <c r="Y41" s="20"/>
      <c r="Z41" s="20"/>
    </row>
    <row r="42" ht="56.25" customHeight="1">
      <c r="A42" s="21">
        <v>41.0</v>
      </c>
      <c r="B42" s="21" t="s">
        <v>709</v>
      </c>
      <c r="C42" s="22">
        <v>4.3900288E7</v>
      </c>
      <c r="D42" s="21" t="str">
        <f>VLOOKUP(C42,'PL NO.'!$B$3:$Q$374,4,0)</f>
        <v>MPCB, RATED CURRENT 4A, CURRENT SETTING 2.4- 4A</v>
      </c>
      <c r="E42" s="22">
        <v>3.0</v>
      </c>
      <c r="F42" s="20"/>
      <c r="G42" s="20"/>
      <c r="H42" s="20"/>
      <c r="I42" s="20"/>
      <c r="J42" s="20"/>
      <c r="K42" s="20"/>
      <c r="L42" s="20"/>
      <c r="M42" s="20"/>
      <c r="N42" s="20"/>
      <c r="O42" s="20"/>
      <c r="P42" s="20"/>
      <c r="Q42" s="20"/>
      <c r="R42" s="20"/>
      <c r="S42" s="20"/>
      <c r="T42" s="20"/>
      <c r="U42" s="20"/>
      <c r="V42" s="20"/>
      <c r="W42" s="20"/>
      <c r="X42" s="20"/>
      <c r="Y42" s="20"/>
      <c r="Z42" s="20"/>
    </row>
    <row r="43" ht="56.25" customHeight="1">
      <c r="A43" s="21">
        <v>42.0</v>
      </c>
      <c r="B43" s="21" t="s">
        <v>1</v>
      </c>
      <c r="C43" s="22">
        <v>4.390032E7</v>
      </c>
      <c r="D43" s="21" t="str">
        <f>VLOOKUP(C43,'PL NO.'!$B$3:$Q$374,4,0)</f>
        <v>"J" TYPE SIMPLEX THERMOCOUPLE</v>
      </c>
      <c r="E43" s="22">
        <v>15.0</v>
      </c>
      <c r="F43" s="20"/>
      <c r="G43" s="20"/>
      <c r="H43" s="20"/>
      <c r="I43" s="20"/>
      <c r="J43" s="20"/>
      <c r="K43" s="20"/>
      <c r="L43" s="20"/>
      <c r="M43" s="20"/>
      <c r="N43" s="20"/>
      <c r="O43" s="20"/>
      <c r="P43" s="20"/>
      <c r="Q43" s="20"/>
      <c r="R43" s="20"/>
      <c r="S43" s="20"/>
      <c r="T43" s="20"/>
      <c r="U43" s="20"/>
      <c r="V43" s="20"/>
      <c r="W43" s="20"/>
      <c r="X43" s="20"/>
      <c r="Y43" s="20"/>
      <c r="Z43" s="20"/>
    </row>
    <row r="44" ht="56.25" customHeight="1">
      <c r="A44" s="21">
        <v>43.0</v>
      </c>
      <c r="B44" s="21" t="s">
        <v>2</v>
      </c>
      <c r="C44" s="22">
        <v>4.5219126E7</v>
      </c>
      <c r="D44" s="21" t="str">
        <f>VLOOKUP(C44,'PL NO.'!$B$3:$Q$374,4,0)</f>
        <v>POWER CONTACTOR, MECHANICALLY INTERLOCKED FORWARD REVERSE, 25A, 110V AC</v>
      </c>
      <c r="E44" s="22">
        <v>2.0</v>
      </c>
      <c r="F44" s="20"/>
      <c r="G44" s="20"/>
      <c r="H44" s="20"/>
      <c r="I44" s="20"/>
      <c r="J44" s="20"/>
      <c r="K44" s="20"/>
      <c r="L44" s="20"/>
      <c r="M44" s="20"/>
      <c r="N44" s="20"/>
      <c r="O44" s="20"/>
      <c r="P44" s="20"/>
      <c r="Q44" s="20"/>
      <c r="R44" s="20"/>
      <c r="S44" s="20"/>
      <c r="T44" s="20"/>
      <c r="U44" s="20"/>
      <c r="V44" s="20"/>
      <c r="W44" s="20"/>
      <c r="X44" s="20"/>
      <c r="Y44" s="20"/>
      <c r="Z44" s="20"/>
    </row>
    <row r="45" ht="56.25" customHeight="1">
      <c r="A45" s="21">
        <v>44.0</v>
      </c>
      <c r="B45" s="21" t="s">
        <v>711</v>
      </c>
      <c r="C45" s="22">
        <v>4.5219126E7</v>
      </c>
      <c r="D45" s="21" t="str">
        <f>VLOOKUP(C45,'PL NO.'!$B$3:$Q$374,4,0)</f>
        <v>POWER CONTACTOR, MECHANICALLY INTERLOCKED FORWARD REVERSE, 25A, 110V AC</v>
      </c>
      <c r="E45" s="22">
        <v>2.0</v>
      </c>
      <c r="F45" s="20"/>
      <c r="G45" s="20"/>
      <c r="H45" s="20"/>
      <c r="I45" s="20"/>
      <c r="J45" s="20"/>
      <c r="K45" s="20"/>
      <c r="L45" s="20"/>
      <c r="M45" s="20"/>
      <c r="N45" s="20"/>
      <c r="O45" s="20"/>
      <c r="P45" s="20"/>
      <c r="Q45" s="20"/>
      <c r="R45" s="20"/>
      <c r="S45" s="20"/>
      <c r="T45" s="20"/>
      <c r="U45" s="20"/>
      <c r="V45" s="20"/>
      <c r="W45" s="20"/>
      <c r="X45" s="20"/>
      <c r="Y45" s="20"/>
      <c r="Z45" s="20"/>
    </row>
    <row r="46" ht="56.25" customHeight="1">
      <c r="A46" s="21">
        <v>45.0</v>
      </c>
      <c r="B46" s="21" t="s">
        <v>1</v>
      </c>
      <c r="C46" s="22">
        <v>4.6090071E7</v>
      </c>
      <c r="D46" s="21" t="str">
        <f>VLOOKUP(C46,'PL NO.'!$B$3:$Q$374,4,0)</f>
        <v>THREE PHASE POWER CONTROLLER, 400A</v>
      </c>
      <c r="E46" s="22">
        <v>1.0</v>
      </c>
      <c r="F46" s="20"/>
      <c r="G46" s="20"/>
      <c r="H46" s="20"/>
      <c r="I46" s="20"/>
      <c r="J46" s="20"/>
      <c r="K46" s="20"/>
      <c r="L46" s="20"/>
      <c r="M46" s="20"/>
      <c r="N46" s="20"/>
      <c r="O46" s="20"/>
      <c r="P46" s="20"/>
      <c r="Q46" s="20"/>
      <c r="R46" s="20"/>
      <c r="S46" s="20"/>
      <c r="T46" s="20"/>
      <c r="U46" s="20"/>
      <c r="V46" s="20"/>
      <c r="W46" s="20"/>
      <c r="X46" s="20"/>
      <c r="Y46" s="20"/>
      <c r="Z46" s="20"/>
    </row>
    <row r="47" ht="56.25" customHeight="1">
      <c r="A47" s="21">
        <v>46.0</v>
      </c>
      <c r="B47" s="21" t="s">
        <v>1</v>
      </c>
      <c r="C47" s="22">
        <v>4.6120324E7</v>
      </c>
      <c r="D47" s="21" t="str">
        <f>VLOOKUP(C47,'PL NO.'!$B$3:$Q$374,4,0)</f>
        <v>COPPER BUS BAR FOR SPRUE WASH</v>
      </c>
      <c r="E47" s="22">
        <v>13.0</v>
      </c>
      <c r="F47" s="20"/>
      <c r="G47" s="20"/>
      <c r="H47" s="20"/>
      <c r="I47" s="20"/>
      <c r="J47" s="20"/>
      <c r="K47" s="20"/>
      <c r="L47" s="20"/>
      <c r="M47" s="20"/>
      <c r="N47" s="20"/>
      <c r="O47" s="20"/>
      <c r="P47" s="20"/>
      <c r="Q47" s="20"/>
      <c r="R47" s="20"/>
      <c r="S47" s="20"/>
      <c r="T47" s="20"/>
      <c r="U47" s="20"/>
      <c r="V47" s="20"/>
      <c r="W47" s="20"/>
      <c r="X47" s="20"/>
      <c r="Y47" s="20"/>
      <c r="Z47" s="20"/>
    </row>
    <row r="48" ht="56.25" customHeight="1">
      <c r="A48" s="21">
        <v>47.0</v>
      </c>
      <c r="B48" s="21" t="s">
        <v>1</v>
      </c>
      <c r="C48" s="22">
        <v>4.7050378E7</v>
      </c>
      <c r="D48" s="21" t="str">
        <f>VLOOKUP(C48,'PL NO.'!$B$3:$Q$374,4,0)</f>
        <v>AC DRIVE 37KW/50HP</v>
      </c>
      <c r="E48" s="22">
        <v>1.0</v>
      </c>
      <c r="F48" s="20"/>
      <c r="G48" s="20"/>
      <c r="H48" s="20"/>
      <c r="I48" s="20"/>
      <c r="J48" s="20"/>
      <c r="K48" s="20"/>
      <c r="L48" s="20"/>
      <c r="M48" s="20"/>
      <c r="N48" s="20"/>
      <c r="O48" s="20"/>
      <c r="P48" s="20"/>
      <c r="Q48" s="20"/>
      <c r="R48" s="20"/>
      <c r="S48" s="20"/>
      <c r="T48" s="20"/>
      <c r="U48" s="20"/>
      <c r="V48" s="20"/>
      <c r="W48" s="20"/>
      <c r="X48" s="20"/>
      <c r="Y48" s="20"/>
      <c r="Z48" s="20"/>
    </row>
    <row r="49" ht="56.25" customHeight="1">
      <c r="A49" s="21">
        <v>48.0</v>
      </c>
      <c r="B49" s="21" t="s">
        <v>0</v>
      </c>
      <c r="C49" s="22">
        <v>4.7050512E7</v>
      </c>
      <c r="D49" s="21" t="str">
        <f>VLOOKUP(C49,'PL NO.'!$B$3:$Q$374,4,0)</f>
        <v>25HP, 6P, 200L, FOOT MOUNTED SQ CAGE INDUCTION MOTOR</v>
      </c>
      <c r="E49" s="22">
        <v>1.0</v>
      </c>
      <c r="F49" s="20"/>
      <c r="G49" s="20"/>
      <c r="H49" s="20"/>
      <c r="I49" s="20"/>
      <c r="J49" s="20"/>
      <c r="K49" s="20"/>
      <c r="L49" s="20"/>
      <c r="M49" s="20"/>
      <c r="N49" s="20"/>
      <c r="O49" s="20"/>
      <c r="P49" s="20"/>
      <c r="Q49" s="20"/>
      <c r="R49" s="20"/>
      <c r="S49" s="20"/>
      <c r="T49" s="20"/>
      <c r="U49" s="20"/>
      <c r="V49" s="20"/>
      <c r="W49" s="20"/>
      <c r="X49" s="20"/>
      <c r="Y49" s="20"/>
      <c r="Z49" s="20"/>
    </row>
    <row r="50" ht="56.25" customHeight="1">
      <c r="A50" s="21">
        <v>49.0</v>
      </c>
      <c r="B50" s="21" t="s">
        <v>0</v>
      </c>
      <c r="C50" s="22">
        <v>4.7050664E7</v>
      </c>
      <c r="D50" s="21" t="str">
        <f>VLOOKUP(C50,'PL NO.'!$B$3:$Q$374,4,0)</f>
        <v>5HP, 2P, 100L, FOOT MOUNTED SQ CAGE INDUCTION MOTOR</v>
      </c>
      <c r="E50" s="22">
        <v>5.0</v>
      </c>
      <c r="F50" s="20"/>
      <c r="G50" s="20"/>
      <c r="H50" s="20"/>
      <c r="I50" s="20"/>
      <c r="J50" s="20"/>
      <c r="K50" s="20"/>
      <c r="L50" s="20"/>
      <c r="M50" s="20"/>
      <c r="N50" s="20"/>
      <c r="O50" s="20"/>
      <c r="P50" s="20"/>
      <c r="Q50" s="20"/>
      <c r="R50" s="20"/>
      <c r="S50" s="20"/>
      <c r="T50" s="20"/>
      <c r="U50" s="20"/>
      <c r="V50" s="20"/>
      <c r="W50" s="20"/>
      <c r="X50" s="20"/>
      <c r="Y50" s="20"/>
      <c r="Z50" s="20"/>
    </row>
    <row r="51" ht="56.25" customHeight="1">
      <c r="A51" s="21">
        <v>50.0</v>
      </c>
      <c r="B51" s="21" t="s">
        <v>2</v>
      </c>
      <c r="C51" s="22">
        <v>4.7241184E7</v>
      </c>
      <c r="D51" s="21" t="str">
        <f>VLOOKUP(C51,'PL NO.'!$B$3:$Q$374,4,0)</f>
        <v>SELECTOR SWITCHES,SPRING RETURN TO CENTER THREE POSITION: 30.5 MM</v>
      </c>
      <c r="E51" s="22">
        <v>5.0</v>
      </c>
      <c r="F51" s="20"/>
      <c r="G51" s="20"/>
      <c r="H51" s="20"/>
      <c r="I51" s="20"/>
      <c r="J51" s="20"/>
      <c r="K51" s="20"/>
      <c r="L51" s="20"/>
      <c r="M51" s="20"/>
      <c r="N51" s="20"/>
      <c r="O51" s="20"/>
      <c r="P51" s="20"/>
      <c r="Q51" s="20"/>
      <c r="R51" s="20"/>
      <c r="S51" s="20"/>
      <c r="T51" s="20"/>
      <c r="U51" s="20"/>
      <c r="V51" s="20"/>
      <c r="W51" s="20"/>
      <c r="X51" s="20"/>
      <c r="Y51" s="20"/>
      <c r="Z51" s="20"/>
    </row>
    <row r="52" ht="56.25" customHeight="1">
      <c r="A52" s="21">
        <v>51.0</v>
      </c>
      <c r="B52" s="21" t="s">
        <v>709</v>
      </c>
      <c r="C52" s="22">
        <v>4.7241184E7</v>
      </c>
      <c r="D52" s="21" t="str">
        <f>VLOOKUP(C52,'PL NO.'!$B$3:$Q$374,4,0)</f>
        <v>SELECTOR SWITCHES,SPRING RETURN TO CENTER THREE POSITION: 30.5 MM</v>
      </c>
      <c r="E52" s="22">
        <v>5.0</v>
      </c>
      <c r="F52" s="20"/>
      <c r="G52" s="20"/>
      <c r="H52" s="20"/>
      <c r="I52" s="20"/>
      <c r="J52" s="20"/>
      <c r="K52" s="20"/>
      <c r="L52" s="20"/>
      <c r="M52" s="20"/>
      <c r="N52" s="20"/>
      <c r="O52" s="20"/>
      <c r="P52" s="20"/>
      <c r="Q52" s="20"/>
      <c r="R52" s="20"/>
      <c r="S52" s="20"/>
      <c r="T52" s="20"/>
      <c r="U52" s="20"/>
      <c r="V52" s="20"/>
      <c r="W52" s="20"/>
      <c r="X52" s="20"/>
      <c r="Y52" s="20"/>
      <c r="Z52" s="20"/>
    </row>
    <row r="53" ht="56.25" customHeight="1">
      <c r="A53" s="21">
        <v>52.0</v>
      </c>
      <c r="B53" s="21" t="s">
        <v>2</v>
      </c>
      <c r="C53" s="22">
        <v>4.7241196E7</v>
      </c>
      <c r="D53" s="21" t="str">
        <f>VLOOKUP(C53,'PL NO.'!$B$3:$Q$374,4,0)</f>
        <v>OIL TIGHT PUSH BUTTON ACTUATOR SPRING RETURN OF 30.5MM DIA , COLOURS:RED,BLACK,YELLOW AND GREEN</v>
      </c>
      <c r="E53" s="22">
        <v>10.0</v>
      </c>
      <c r="F53" s="20"/>
      <c r="G53" s="20"/>
      <c r="H53" s="20"/>
      <c r="I53" s="20"/>
      <c r="J53" s="20"/>
      <c r="K53" s="20"/>
      <c r="L53" s="20"/>
      <c r="M53" s="20"/>
      <c r="N53" s="20"/>
      <c r="O53" s="20"/>
      <c r="P53" s="20"/>
      <c r="Q53" s="20"/>
      <c r="R53" s="20"/>
      <c r="S53" s="20"/>
      <c r="T53" s="20"/>
      <c r="U53" s="20"/>
      <c r="V53" s="20"/>
      <c r="W53" s="20"/>
      <c r="X53" s="20"/>
      <c r="Y53" s="20"/>
      <c r="Z53" s="20"/>
    </row>
    <row r="54" ht="56.25" customHeight="1">
      <c r="A54" s="21">
        <v>53.0</v>
      </c>
      <c r="B54" s="21" t="s">
        <v>709</v>
      </c>
      <c r="C54" s="22">
        <v>4.7241202E7</v>
      </c>
      <c r="D54" s="21" t="str">
        <f>VLOOKUP(C54,'PL NO.'!$B$3:$Q$374,4,0)</f>
        <v>MUSH ROOM HEAD OIL TIGHT PUSH BUTTON 22MM DIA RED IN COLOUR, PULL TO RESET TYPE. (LATCH-IN-TWIST TO RESET)</v>
      </c>
      <c r="E54" s="22">
        <v>2.0</v>
      </c>
      <c r="F54" s="20"/>
      <c r="G54" s="20"/>
      <c r="H54" s="20"/>
      <c r="I54" s="20"/>
      <c r="J54" s="20"/>
      <c r="K54" s="20"/>
      <c r="L54" s="20"/>
      <c r="M54" s="20"/>
      <c r="N54" s="20"/>
      <c r="O54" s="20"/>
      <c r="P54" s="20"/>
      <c r="Q54" s="20"/>
      <c r="R54" s="20"/>
      <c r="S54" s="20"/>
      <c r="T54" s="20"/>
      <c r="U54" s="20"/>
      <c r="V54" s="20"/>
      <c r="W54" s="20"/>
      <c r="X54" s="20"/>
      <c r="Y54" s="20"/>
      <c r="Z54" s="20"/>
    </row>
    <row r="55" ht="56.25" customHeight="1">
      <c r="A55" s="21">
        <v>54.0</v>
      </c>
      <c r="B55" s="21" t="s">
        <v>709</v>
      </c>
      <c r="C55" s="22">
        <v>4.7241214E7</v>
      </c>
      <c r="D55" s="21" t="str">
        <f>VLOOKUP(C55,'PL NO.'!$B$3:$Q$374,4,0)</f>
        <v>OIL TIGHT FLUSH PUSH BUTTON ACTUATOR OF SIZE 30.5 MM, SIX COLOURS</v>
      </c>
      <c r="E55" s="22">
        <v>2.0</v>
      </c>
      <c r="F55" s="20"/>
      <c r="G55" s="20"/>
      <c r="H55" s="20"/>
      <c r="I55" s="20"/>
      <c r="J55" s="20"/>
      <c r="K55" s="20"/>
      <c r="L55" s="20"/>
      <c r="M55" s="20"/>
      <c r="N55" s="20"/>
      <c r="O55" s="20"/>
      <c r="P55" s="20"/>
      <c r="Q55" s="20"/>
      <c r="R55" s="20"/>
      <c r="S55" s="20"/>
      <c r="T55" s="20"/>
      <c r="U55" s="20"/>
      <c r="V55" s="20"/>
      <c r="W55" s="20"/>
      <c r="X55" s="20"/>
      <c r="Y55" s="20"/>
      <c r="Z55" s="20"/>
    </row>
    <row r="56" ht="56.25" customHeight="1">
      <c r="A56" s="21">
        <v>55.0</v>
      </c>
      <c r="B56" s="21" t="s">
        <v>709</v>
      </c>
      <c r="C56" s="22">
        <v>4.7241238E7</v>
      </c>
      <c r="D56" s="21" t="str">
        <f>VLOOKUP(C56,'PL NO.'!$B$3:$Q$374,4,0)</f>
        <v>OIL TIGHT FLUSH PUSH BUTTON ACTUATOR OF SIZE 22.5 MM, YELLOW AND RED</v>
      </c>
      <c r="E56" s="22">
        <v>5.0</v>
      </c>
      <c r="F56" s="20"/>
      <c r="G56" s="20"/>
      <c r="H56" s="20"/>
      <c r="I56" s="20"/>
      <c r="J56" s="20"/>
      <c r="K56" s="20"/>
      <c r="L56" s="20"/>
      <c r="M56" s="20"/>
      <c r="N56" s="20"/>
      <c r="O56" s="20"/>
      <c r="P56" s="20"/>
      <c r="Q56" s="20"/>
      <c r="R56" s="20"/>
      <c r="S56" s="20"/>
      <c r="T56" s="20"/>
      <c r="U56" s="20"/>
      <c r="V56" s="20"/>
      <c r="W56" s="20"/>
      <c r="X56" s="20"/>
      <c r="Y56" s="20"/>
      <c r="Z56" s="20"/>
    </row>
    <row r="57" ht="56.25" customHeight="1">
      <c r="A57" s="21">
        <v>56.0</v>
      </c>
      <c r="B57" s="21" t="s">
        <v>2</v>
      </c>
      <c r="C57" s="22">
        <v>4.7241251E7</v>
      </c>
      <c r="D57" s="21" t="str">
        <f>VLOOKUP(C57,'PL NO.'!$B$3:$Q$374,4,0)</f>
        <v>OIL TIGHT SELACTOR SWITCH 3 POSITION MAINTAINED TYPE OF SIZE 30.5 MM</v>
      </c>
      <c r="E57" s="22">
        <v>5.0</v>
      </c>
      <c r="F57" s="20"/>
      <c r="G57" s="20"/>
      <c r="H57" s="20"/>
      <c r="I57" s="20"/>
      <c r="J57" s="20"/>
      <c r="K57" s="20"/>
      <c r="L57" s="20"/>
      <c r="M57" s="20"/>
      <c r="N57" s="20"/>
      <c r="O57" s="20"/>
      <c r="P57" s="20"/>
      <c r="Q57" s="20"/>
      <c r="R57" s="20"/>
      <c r="S57" s="20"/>
      <c r="T57" s="20"/>
      <c r="U57" s="20"/>
      <c r="V57" s="20"/>
      <c r="W57" s="20"/>
      <c r="X57" s="20"/>
      <c r="Y57" s="20"/>
      <c r="Z57" s="20"/>
    </row>
    <row r="58" ht="56.25" customHeight="1">
      <c r="A58" s="21">
        <v>57.0</v>
      </c>
      <c r="B58" s="21" t="s">
        <v>711</v>
      </c>
      <c r="C58" s="22">
        <v>4.7241251E7</v>
      </c>
      <c r="D58" s="21" t="str">
        <f>VLOOKUP(C58,'PL NO.'!$B$3:$Q$374,4,0)</f>
        <v>OIL TIGHT SELACTOR SWITCH 3 POSITION MAINTAINED TYPE OF SIZE 30.5 MM</v>
      </c>
      <c r="E58" s="22">
        <v>10.0</v>
      </c>
      <c r="F58" s="20"/>
      <c r="G58" s="20"/>
      <c r="H58" s="20"/>
      <c r="I58" s="20"/>
      <c r="J58" s="20"/>
      <c r="K58" s="20"/>
      <c r="L58" s="20"/>
      <c r="M58" s="20"/>
      <c r="N58" s="20"/>
      <c r="O58" s="20"/>
      <c r="P58" s="20"/>
      <c r="Q58" s="20"/>
      <c r="R58" s="20"/>
      <c r="S58" s="20"/>
      <c r="T58" s="20"/>
      <c r="U58" s="20"/>
      <c r="V58" s="20"/>
      <c r="W58" s="20"/>
      <c r="X58" s="20"/>
      <c r="Y58" s="20"/>
      <c r="Z58" s="20"/>
    </row>
    <row r="59" ht="56.25" customHeight="1">
      <c r="A59" s="21">
        <v>58.0</v>
      </c>
      <c r="B59" s="21" t="s">
        <v>709</v>
      </c>
      <c r="C59" s="22">
        <v>4.7241251E7</v>
      </c>
      <c r="D59" s="21" t="str">
        <f>VLOOKUP(C59,'PL NO.'!$B$3:$Q$374,4,0)</f>
        <v>OIL TIGHT SELACTOR SWITCH 3 POSITION MAINTAINED TYPE OF SIZE 30.5 MM</v>
      </c>
      <c r="E59" s="22">
        <v>5.0</v>
      </c>
      <c r="F59" s="20"/>
      <c r="G59" s="20"/>
      <c r="H59" s="20"/>
      <c r="I59" s="20"/>
      <c r="J59" s="20"/>
      <c r="K59" s="20"/>
      <c r="L59" s="20"/>
      <c r="M59" s="20"/>
      <c r="N59" s="20"/>
      <c r="O59" s="20"/>
      <c r="P59" s="20"/>
      <c r="Q59" s="20"/>
      <c r="R59" s="20"/>
      <c r="S59" s="20"/>
      <c r="T59" s="20"/>
      <c r="U59" s="20"/>
      <c r="V59" s="20"/>
      <c r="W59" s="20"/>
      <c r="X59" s="20"/>
      <c r="Y59" s="20"/>
      <c r="Z59" s="20"/>
    </row>
    <row r="60" ht="56.25" customHeight="1">
      <c r="A60" s="21">
        <v>59.0</v>
      </c>
      <c r="B60" s="21" t="s">
        <v>2</v>
      </c>
      <c r="C60" s="22">
        <v>4.7241263E7</v>
      </c>
      <c r="D60" s="21" t="str">
        <f>VLOOKUP(C60,'PL NO.'!$B$3:$Q$374,4,0)</f>
        <v>SELECTOR SWITCH 2POSTION MAINTAINED TYPE 22.5MM</v>
      </c>
      <c r="E60" s="22">
        <v>5.0</v>
      </c>
      <c r="F60" s="20"/>
      <c r="G60" s="20"/>
      <c r="H60" s="20"/>
      <c r="I60" s="20"/>
      <c r="J60" s="20"/>
      <c r="K60" s="20"/>
      <c r="L60" s="20"/>
      <c r="M60" s="20"/>
      <c r="N60" s="20"/>
      <c r="O60" s="20"/>
      <c r="P60" s="20"/>
      <c r="Q60" s="20"/>
      <c r="R60" s="20"/>
      <c r="S60" s="20"/>
      <c r="T60" s="20"/>
      <c r="U60" s="20"/>
      <c r="V60" s="20"/>
      <c r="W60" s="20"/>
      <c r="X60" s="20"/>
      <c r="Y60" s="20"/>
      <c r="Z60" s="20"/>
    </row>
    <row r="61" ht="56.25" customHeight="1">
      <c r="A61" s="21">
        <v>60.0</v>
      </c>
      <c r="B61" s="21" t="s">
        <v>709</v>
      </c>
      <c r="C61" s="22">
        <v>4.7241263E7</v>
      </c>
      <c r="D61" s="21" t="str">
        <f>VLOOKUP(C61,'PL NO.'!$B$3:$Q$374,4,0)</f>
        <v>SELECTOR SWITCH 2POSTION MAINTAINED TYPE 22.5MM</v>
      </c>
      <c r="E61" s="22">
        <v>5.0</v>
      </c>
      <c r="F61" s="20"/>
      <c r="G61" s="20"/>
      <c r="H61" s="20"/>
      <c r="I61" s="20"/>
      <c r="J61" s="20"/>
      <c r="K61" s="20"/>
      <c r="L61" s="20"/>
      <c r="M61" s="20"/>
      <c r="N61" s="20"/>
      <c r="O61" s="20"/>
      <c r="P61" s="20"/>
      <c r="Q61" s="20"/>
      <c r="R61" s="20"/>
      <c r="S61" s="20"/>
      <c r="T61" s="20"/>
      <c r="U61" s="20"/>
      <c r="V61" s="20"/>
      <c r="W61" s="20"/>
      <c r="X61" s="20"/>
      <c r="Y61" s="20"/>
      <c r="Z61" s="20"/>
    </row>
    <row r="62" ht="56.25" customHeight="1">
      <c r="A62" s="21">
        <v>61.0</v>
      </c>
      <c r="B62" s="21" t="s">
        <v>2</v>
      </c>
      <c r="C62" s="22">
        <v>4.7241275E7</v>
      </c>
      <c r="D62" s="21" t="str">
        <f>VLOOKUP(C62,'PL NO.'!$B$3:$Q$374,4,0)</f>
        <v>MCB 16AMPS, 3 POLE</v>
      </c>
      <c r="E62" s="22">
        <v>2.0</v>
      </c>
      <c r="F62" s="20"/>
      <c r="G62" s="20"/>
      <c r="H62" s="20"/>
      <c r="I62" s="20"/>
      <c r="J62" s="20"/>
      <c r="K62" s="20"/>
      <c r="L62" s="20"/>
      <c r="M62" s="20"/>
      <c r="N62" s="20"/>
      <c r="O62" s="20"/>
      <c r="P62" s="20"/>
      <c r="Q62" s="20"/>
      <c r="R62" s="20"/>
      <c r="S62" s="20"/>
      <c r="T62" s="20"/>
      <c r="U62" s="20"/>
      <c r="V62" s="20"/>
      <c r="W62" s="20"/>
      <c r="X62" s="20"/>
      <c r="Y62" s="20"/>
      <c r="Z62" s="20"/>
    </row>
    <row r="63" ht="56.25" customHeight="1">
      <c r="A63" s="21">
        <v>62.0</v>
      </c>
      <c r="B63" s="21" t="s">
        <v>709</v>
      </c>
      <c r="C63" s="22">
        <v>4.7241275E7</v>
      </c>
      <c r="D63" s="21" t="str">
        <f>VLOOKUP(C63,'PL NO.'!$B$3:$Q$374,4,0)</f>
        <v>MCB 16AMPS, 3 POLE</v>
      </c>
      <c r="E63" s="22">
        <v>5.0</v>
      </c>
      <c r="F63" s="20"/>
      <c r="G63" s="20"/>
      <c r="H63" s="20"/>
      <c r="I63" s="20"/>
      <c r="J63" s="20"/>
      <c r="K63" s="20"/>
      <c r="L63" s="20"/>
      <c r="M63" s="20"/>
      <c r="N63" s="20"/>
      <c r="O63" s="20"/>
      <c r="P63" s="20"/>
      <c r="Q63" s="20"/>
      <c r="R63" s="20"/>
      <c r="S63" s="20"/>
      <c r="T63" s="20"/>
      <c r="U63" s="20"/>
      <c r="V63" s="20"/>
      <c r="W63" s="20"/>
      <c r="X63" s="20"/>
      <c r="Y63" s="20"/>
      <c r="Z63" s="20"/>
    </row>
    <row r="64" ht="56.25" customHeight="1">
      <c r="A64" s="21">
        <v>63.0</v>
      </c>
      <c r="B64" s="21" t="s">
        <v>709</v>
      </c>
      <c r="C64" s="22">
        <v>4.7241299E7</v>
      </c>
      <c r="D64" s="21" t="str">
        <f>VLOOKUP(C64,'PL NO.'!$B$3:$Q$374,4,0)</f>
        <v>MPCB, RATED CURRENT 16A, CURRENT SETTING 10- 16A</v>
      </c>
      <c r="E64" s="22">
        <v>2.0</v>
      </c>
      <c r="F64" s="20"/>
      <c r="G64" s="20"/>
      <c r="H64" s="20"/>
      <c r="I64" s="20"/>
      <c r="J64" s="20"/>
      <c r="K64" s="20"/>
      <c r="L64" s="20"/>
      <c r="M64" s="20"/>
      <c r="N64" s="20"/>
      <c r="O64" s="20"/>
      <c r="P64" s="20"/>
      <c r="Q64" s="20"/>
      <c r="R64" s="20"/>
      <c r="S64" s="20"/>
      <c r="T64" s="20"/>
      <c r="U64" s="20"/>
      <c r="V64" s="20"/>
      <c r="W64" s="20"/>
      <c r="X64" s="20"/>
      <c r="Y64" s="20"/>
      <c r="Z64" s="20"/>
    </row>
    <row r="65" ht="56.25" customHeight="1">
      <c r="A65" s="21">
        <v>64.0</v>
      </c>
      <c r="B65" s="21" t="s">
        <v>711</v>
      </c>
      <c r="C65" s="22">
        <v>4.7241305E7</v>
      </c>
      <c r="D65" s="21" t="str">
        <f>VLOOKUP(C65,'PL NO.'!$B$3:$Q$374,4,0)</f>
        <v>MCB 10AMPS, 2 POLE</v>
      </c>
      <c r="E65" s="22">
        <v>10.0</v>
      </c>
      <c r="F65" s="20"/>
      <c r="G65" s="20"/>
      <c r="H65" s="20"/>
      <c r="I65" s="20"/>
      <c r="J65" s="20"/>
      <c r="K65" s="20"/>
      <c r="L65" s="20"/>
      <c r="M65" s="20"/>
      <c r="N65" s="20"/>
      <c r="O65" s="20"/>
      <c r="P65" s="20"/>
      <c r="Q65" s="20"/>
      <c r="R65" s="20"/>
      <c r="S65" s="20"/>
      <c r="T65" s="20"/>
      <c r="U65" s="20"/>
      <c r="V65" s="20"/>
      <c r="W65" s="20"/>
      <c r="X65" s="20"/>
      <c r="Y65" s="20"/>
      <c r="Z65" s="20"/>
    </row>
    <row r="66" ht="56.25" customHeight="1">
      <c r="A66" s="21">
        <v>65.0</v>
      </c>
      <c r="B66" s="21" t="s">
        <v>709</v>
      </c>
      <c r="C66" s="22">
        <v>4.7241317E7</v>
      </c>
      <c r="D66" s="21" t="str">
        <f>VLOOKUP(C66,'PL NO.'!$B$3:$Q$374,4,0)</f>
        <v>MPCB, RATED CURRENT 13A, CURRENT SETTING 8- 13A</v>
      </c>
      <c r="E66" s="22">
        <v>2.0</v>
      </c>
      <c r="F66" s="20"/>
      <c r="G66" s="20"/>
      <c r="H66" s="20"/>
      <c r="I66" s="20"/>
      <c r="J66" s="20"/>
      <c r="K66" s="20"/>
      <c r="L66" s="20"/>
      <c r="M66" s="20"/>
      <c r="N66" s="20"/>
      <c r="O66" s="20"/>
      <c r="P66" s="20"/>
      <c r="Q66" s="20"/>
      <c r="R66" s="20"/>
      <c r="S66" s="20"/>
      <c r="T66" s="20"/>
      <c r="U66" s="20"/>
      <c r="V66" s="20"/>
      <c r="W66" s="20"/>
      <c r="X66" s="20"/>
      <c r="Y66" s="20"/>
      <c r="Z66" s="20"/>
    </row>
    <row r="67" ht="56.25" customHeight="1">
      <c r="A67" s="21">
        <v>66.0</v>
      </c>
      <c r="B67" s="21" t="s">
        <v>709</v>
      </c>
      <c r="C67" s="22">
        <v>4.7241329E7</v>
      </c>
      <c r="D67" s="21" t="str">
        <f>VLOOKUP(C67,'PL NO.'!$B$3:$Q$374,4,0)</f>
        <v>MPCB, RATED CURRENT 2.4A, CURRENT SETTING 1.6- 2.4A</v>
      </c>
      <c r="E67" s="22">
        <v>3.0</v>
      </c>
      <c r="F67" s="20"/>
      <c r="G67" s="20"/>
      <c r="H67" s="20"/>
      <c r="I67" s="20"/>
      <c r="J67" s="20"/>
      <c r="K67" s="20"/>
      <c r="L67" s="20"/>
      <c r="M67" s="20"/>
      <c r="N67" s="20"/>
      <c r="O67" s="20"/>
      <c r="P67" s="20"/>
      <c r="Q67" s="20"/>
      <c r="R67" s="20"/>
      <c r="S67" s="20"/>
      <c r="T67" s="20"/>
      <c r="U67" s="20"/>
      <c r="V67" s="20"/>
      <c r="W67" s="20"/>
      <c r="X67" s="20"/>
      <c r="Y67" s="20"/>
      <c r="Z67" s="20"/>
    </row>
    <row r="68" ht="56.25" customHeight="1">
      <c r="A68" s="21">
        <v>67.0</v>
      </c>
      <c r="B68" s="21" t="s">
        <v>709</v>
      </c>
      <c r="C68" s="22">
        <v>4.724141E7</v>
      </c>
      <c r="D68" s="21" t="str">
        <f>VLOOKUP(C68,'PL NO.'!$B$3:$Q$374,4,0)</f>
        <v>MUSHROOM PUSH BUTTON ACTUATOR, RED COLOUR SPRING RETURN</v>
      </c>
      <c r="E68" s="22">
        <v>3.0</v>
      </c>
      <c r="F68" s="20"/>
      <c r="G68" s="20"/>
      <c r="H68" s="20"/>
      <c r="I68" s="20"/>
      <c r="J68" s="20"/>
      <c r="K68" s="20"/>
      <c r="L68" s="20"/>
      <c r="M68" s="20"/>
      <c r="N68" s="20"/>
      <c r="O68" s="20"/>
      <c r="P68" s="20"/>
      <c r="Q68" s="20"/>
      <c r="R68" s="20"/>
      <c r="S68" s="20"/>
      <c r="T68" s="20"/>
      <c r="U68" s="20"/>
      <c r="V68" s="20"/>
      <c r="W68" s="20"/>
      <c r="X68" s="20"/>
      <c r="Y68" s="20"/>
      <c r="Z68" s="20"/>
    </row>
    <row r="69" ht="56.25" customHeight="1">
      <c r="A69" s="21">
        <v>68.0</v>
      </c>
      <c r="B69" s="21" t="s">
        <v>709</v>
      </c>
      <c r="C69" s="22">
        <v>4.7241421E7</v>
      </c>
      <c r="D69" s="21" t="str">
        <f>VLOOKUP(C69,'PL NO.'!$B$3:$Q$374,4,0)</f>
        <v>MCB 10AMPS, 2 POLE</v>
      </c>
      <c r="E69" s="22">
        <v>5.0</v>
      </c>
      <c r="F69" s="20"/>
      <c r="G69" s="20"/>
      <c r="H69" s="20"/>
      <c r="I69" s="20"/>
      <c r="J69" s="20"/>
      <c r="K69" s="20"/>
      <c r="L69" s="20"/>
      <c r="M69" s="20"/>
      <c r="N69" s="20"/>
      <c r="O69" s="20"/>
      <c r="P69" s="20"/>
      <c r="Q69" s="20"/>
      <c r="R69" s="20"/>
      <c r="S69" s="20"/>
      <c r="T69" s="20"/>
      <c r="U69" s="20"/>
      <c r="V69" s="20"/>
      <c r="W69" s="20"/>
      <c r="X69" s="20"/>
      <c r="Y69" s="20"/>
      <c r="Z69" s="20"/>
    </row>
    <row r="70" ht="56.25" customHeight="1">
      <c r="A70" s="21">
        <v>69.0</v>
      </c>
      <c r="B70" s="21" t="s">
        <v>1</v>
      </c>
      <c r="C70" s="22">
        <v>4.7241494E7</v>
      </c>
      <c r="D70" s="21" t="str">
        <f>VLOOKUP(C70,'PL NO.'!$B$3:$Q$374,4,0)</f>
        <v>MPCB 18-26AMPS</v>
      </c>
      <c r="E70" s="22">
        <v>2.0</v>
      </c>
      <c r="F70" s="20"/>
      <c r="G70" s="20"/>
      <c r="H70" s="20"/>
      <c r="I70" s="20"/>
      <c r="J70" s="20"/>
      <c r="K70" s="20"/>
      <c r="L70" s="20"/>
      <c r="M70" s="20"/>
      <c r="N70" s="20"/>
      <c r="O70" s="20"/>
      <c r="P70" s="20"/>
      <c r="Q70" s="20"/>
      <c r="R70" s="20"/>
      <c r="S70" s="20"/>
      <c r="T70" s="20"/>
      <c r="U70" s="20"/>
      <c r="V70" s="20"/>
      <c r="W70" s="20"/>
      <c r="X70" s="20"/>
      <c r="Y70" s="20"/>
      <c r="Z70" s="20"/>
    </row>
    <row r="71" ht="56.25" customHeight="1">
      <c r="A71" s="21">
        <v>70.0</v>
      </c>
      <c r="B71" s="21" t="s">
        <v>709</v>
      </c>
      <c r="C71" s="22">
        <v>4.7241512E7</v>
      </c>
      <c r="D71" s="21" t="str">
        <f>VLOOKUP(C71,'PL NO.'!$B$3:$Q$374,4,0)</f>
        <v>MPCB, RATED CURRENT 6A, CURRENT SETTING 4- 6A</v>
      </c>
      <c r="E71" s="22">
        <v>3.0</v>
      </c>
      <c r="F71" s="20"/>
      <c r="G71" s="20"/>
      <c r="H71" s="20"/>
      <c r="I71" s="20"/>
      <c r="J71" s="20"/>
      <c r="K71" s="20"/>
      <c r="L71" s="20"/>
      <c r="M71" s="20"/>
      <c r="N71" s="20"/>
      <c r="O71" s="20"/>
      <c r="P71" s="20"/>
      <c r="Q71" s="20"/>
      <c r="R71" s="20"/>
      <c r="S71" s="20"/>
      <c r="T71" s="20"/>
      <c r="U71" s="20"/>
      <c r="V71" s="20"/>
      <c r="W71" s="20"/>
      <c r="X71" s="20"/>
      <c r="Y71" s="20"/>
      <c r="Z71" s="20"/>
    </row>
    <row r="72" ht="56.25" customHeight="1">
      <c r="A72" s="21">
        <v>71.0</v>
      </c>
      <c r="B72" s="21" t="s">
        <v>1</v>
      </c>
      <c r="C72" s="22">
        <v>4.7241573E7</v>
      </c>
      <c r="D72" s="21" t="str">
        <f>VLOOKUP(C72,'PL NO.'!$B$3:$Q$374,4,0)</f>
        <v>JOYSTIC CONTROLLER</v>
      </c>
      <c r="E72" s="22">
        <v>6.0</v>
      </c>
      <c r="F72" s="20"/>
      <c r="G72" s="20"/>
      <c r="H72" s="20"/>
      <c r="I72" s="20"/>
      <c r="J72" s="20"/>
      <c r="K72" s="20"/>
      <c r="L72" s="20"/>
      <c r="M72" s="20"/>
      <c r="N72" s="20"/>
      <c r="O72" s="20"/>
      <c r="P72" s="20"/>
      <c r="Q72" s="20"/>
      <c r="R72" s="20"/>
      <c r="S72" s="20"/>
      <c r="T72" s="20"/>
      <c r="U72" s="20"/>
      <c r="V72" s="20"/>
      <c r="W72" s="20"/>
      <c r="X72" s="20"/>
      <c r="Y72" s="20"/>
      <c r="Z72" s="20"/>
    </row>
    <row r="73" ht="56.25" customHeight="1">
      <c r="A73" s="21">
        <v>72.0</v>
      </c>
      <c r="B73" s="21" t="s">
        <v>711</v>
      </c>
      <c r="C73" s="22">
        <v>4.7241573E7</v>
      </c>
      <c r="D73" s="21" t="str">
        <f>VLOOKUP(C73,'PL NO.'!$B$3:$Q$374,4,0)</f>
        <v>JOYSTIC CONTROLLER</v>
      </c>
      <c r="E73" s="22">
        <v>5.0</v>
      </c>
      <c r="F73" s="20"/>
      <c r="G73" s="20"/>
      <c r="H73" s="20"/>
      <c r="I73" s="20"/>
      <c r="J73" s="20"/>
      <c r="K73" s="20"/>
      <c r="L73" s="20"/>
      <c r="M73" s="20"/>
      <c r="N73" s="20"/>
      <c r="O73" s="20"/>
      <c r="P73" s="20"/>
      <c r="Q73" s="20"/>
      <c r="R73" s="20"/>
      <c r="S73" s="20"/>
      <c r="T73" s="20"/>
      <c r="U73" s="20"/>
      <c r="V73" s="20"/>
      <c r="W73" s="20"/>
      <c r="X73" s="20"/>
      <c r="Y73" s="20"/>
      <c r="Z73" s="20"/>
    </row>
    <row r="74" ht="56.25" customHeight="1">
      <c r="A74" s="21">
        <v>73.0</v>
      </c>
      <c r="B74" s="21" t="s">
        <v>709</v>
      </c>
      <c r="C74" s="22">
        <v>4.7241573E7</v>
      </c>
      <c r="D74" s="21" t="str">
        <f>VLOOKUP(C74,'PL NO.'!$B$3:$Q$374,4,0)</f>
        <v>JOYSTIC CONTROLLER</v>
      </c>
      <c r="E74" s="22">
        <v>3.0</v>
      </c>
      <c r="F74" s="20"/>
      <c r="G74" s="20"/>
      <c r="H74" s="20"/>
      <c r="I74" s="20"/>
      <c r="J74" s="20"/>
      <c r="K74" s="20"/>
      <c r="L74" s="20"/>
      <c r="M74" s="20"/>
      <c r="N74" s="20"/>
      <c r="O74" s="20"/>
      <c r="P74" s="20"/>
      <c r="Q74" s="20"/>
      <c r="R74" s="20"/>
      <c r="S74" s="20"/>
      <c r="T74" s="20"/>
      <c r="U74" s="20"/>
      <c r="V74" s="20"/>
      <c r="W74" s="20"/>
      <c r="X74" s="20"/>
      <c r="Y74" s="20"/>
      <c r="Z74" s="20"/>
    </row>
    <row r="75" ht="56.25" customHeight="1">
      <c r="A75" s="21">
        <v>74.0</v>
      </c>
      <c r="B75" s="21" t="s">
        <v>1</v>
      </c>
      <c r="C75" s="22">
        <v>4.7380056E7</v>
      </c>
      <c r="D75" s="21" t="str">
        <f>VLOOKUP(C75,'PL NO.'!$B$3:$Q$374,4,0)</f>
        <v>TUBE HOLDING OVEN HEATING ELEMENT</v>
      </c>
      <c r="E75" s="22">
        <v>10.0</v>
      </c>
      <c r="F75" s="20"/>
      <c r="G75" s="20"/>
      <c r="H75" s="20"/>
      <c r="I75" s="20"/>
      <c r="J75" s="20"/>
      <c r="K75" s="20"/>
      <c r="L75" s="20"/>
      <c r="M75" s="20"/>
      <c r="N75" s="20"/>
      <c r="O75" s="20"/>
      <c r="P75" s="20"/>
      <c r="Q75" s="20"/>
      <c r="R75" s="20"/>
      <c r="S75" s="20"/>
      <c r="T75" s="20"/>
      <c r="U75" s="20"/>
      <c r="V75" s="20"/>
      <c r="W75" s="20"/>
      <c r="X75" s="20"/>
      <c r="Y75" s="20"/>
      <c r="Z75" s="20"/>
    </row>
    <row r="76" ht="56.25" customHeight="1">
      <c r="A76" s="21">
        <v>75.0</v>
      </c>
      <c r="B76" s="21" t="s">
        <v>710</v>
      </c>
      <c r="C76" s="22">
        <v>4.7420339E7</v>
      </c>
      <c r="D76" s="21" t="str">
        <f>VLOOKUP(C76,'PL NO.'!$B$3:$Q$374,4,0)</f>
        <v>BCH LIMIT SWITCH SHORT ARM</v>
      </c>
      <c r="E76" s="22">
        <v>5.0</v>
      </c>
      <c r="F76" s="20"/>
      <c r="G76" s="20"/>
      <c r="H76" s="20"/>
      <c r="I76" s="20"/>
      <c r="J76" s="20"/>
      <c r="K76" s="20"/>
      <c r="L76" s="20"/>
      <c r="M76" s="20"/>
      <c r="N76" s="20"/>
      <c r="O76" s="20"/>
      <c r="P76" s="20"/>
      <c r="Q76" s="20"/>
      <c r="R76" s="20"/>
      <c r="S76" s="20"/>
      <c r="T76" s="20"/>
      <c r="U76" s="20"/>
      <c r="V76" s="20"/>
      <c r="W76" s="20"/>
      <c r="X76" s="20"/>
      <c r="Y76" s="20"/>
      <c r="Z76" s="20"/>
    </row>
    <row r="77" ht="56.25" customHeight="1">
      <c r="A77" s="21">
        <v>76.0</v>
      </c>
      <c r="B77" s="21" t="s">
        <v>1</v>
      </c>
      <c r="C77" s="22">
        <v>4.742034E7</v>
      </c>
      <c r="D77" s="21" t="str">
        <f>VLOOKUP(C77,'PL NO.'!$B$3:$Q$374,4,0)</f>
        <v>HEAVY DUTY OVER TRAVEL CONTROL UNIT</v>
      </c>
      <c r="E77" s="22">
        <v>10.0</v>
      </c>
      <c r="F77" s="20"/>
      <c r="G77" s="20"/>
      <c r="H77" s="20"/>
      <c r="I77" s="20"/>
      <c r="J77" s="20"/>
      <c r="K77" s="20"/>
      <c r="L77" s="20"/>
      <c r="M77" s="20"/>
      <c r="N77" s="20"/>
      <c r="O77" s="20"/>
      <c r="P77" s="20"/>
      <c r="Q77" s="20"/>
      <c r="R77" s="20"/>
      <c r="S77" s="20"/>
      <c r="T77" s="20"/>
      <c r="U77" s="20"/>
      <c r="V77" s="20"/>
      <c r="W77" s="20"/>
      <c r="X77" s="20"/>
      <c r="Y77" s="20"/>
      <c r="Z77" s="20"/>
    </row>
    <row r="78" ht="56.25" customHeight="1">
      <c r="A78" s="21">
        <v>77.0</v>
      </c>
      <c r="B78" s="21" t="s">
        <v>2</v>
      </c>
      <c r="C78" s="22">
        <v>4.742034E7</v>
      </c>
      <c r="D78" s="21" t="str">
        <f>VLOOKUP(C78,'PL NO.'!$B$3:$Q$374,4,0)</f>
        <v>HEAVY DUTY OVER TRAVEL CONTROL UNIT</v>
      </c>
      <c r="E78" s="22">
        <v>5.0</v>
      </c>
      <c r="F78" s="20"/>
      <c r="G78" s="20"/>
      <c r="H78" s="20"/>
      <c r="I78" s="20"/>
      <c r="J78" s="20"/>
      <c r="K78" s="20"/>
      <c r="L78" s="20"/>
      <c r="M78" s="20"/>
      <c r="N78" s="20"/>
      <c r="O78" s="20"/>
      <c r="P78" s="20"/>
      <c r="Q78" s="20"/>
      <c r="R78" s="20"/>
      <c r="S78" s="20"/>
      <c r="T78" s="20"/>
      <c r="U78" s="20"/>
      <c r="V78" s="20"/>
      <c r="W78" s="20"/>
      <c r="X78" s="20"/>
      <c r="Y78" s="20"/>
      <c r="Z78" s="20"/>
    </row>
    <row r="79" ht="56.25" customHeight="1">
      <c r="A79" s="21">
        <v>78.0</v>
      </c>
      <c r="B79" s="21" t="s">
        <v>710</v>
      </c>
      <c r="C79" s="22">
        <v>4.742034E7</v>
      </c>
      <c r="D79" s="21" t="str">
        <f>VLOOKUP(C79,'PL NO.'!$B$3:$Q$374,4,0)</f>
        <v>HEAVY DUTY OVER TRAVEL CONTROL UNIT</v>
      </c>
      <c r="E79" s="22">
        <v>10.0</v>
      </c>
      <c r="F79" s="20"/>
      <c r="G79" s="20"/>
      <c r="H79" s="20"/>
      <c r="I79" s="20"/>
      <c r="J79" s="20"/>
      <c r="K79" s="20"/>
      <c r="L79" s="20"/>
      <c r="M79" s="20"/>
      <c r="N79" s="20"/>
      <c r="O79" s="20"/>
      <c r="P79" s="20"/>
      <c r="Q79" s="20"/>
      <c r="R79" s="20"/>
      <c r="S79" s="20"/>
      <c r="T79" s="20"/>
      <c r="U79" s="20"/>
      <c r="V79" s="20"/>
      <c r="W79" s="20"/>
      <c r="X79" s="20"/>
      <c r="Y79" s="20"/>
      <c r="Z79" s="20"/>
    </row>
    <row r="80" ht="56.25" customHeight="1">
      <c r="A80" s="21">
        <v>79.0</v>
      </c>
      <c r="B80" s="21" t="s">
        <v>2</v>
      </c>
      <c r="C80" s="22">
        <v>4.7420479E7</v>
      </c>
      <c r="D80" s="21" t="str">
        <f>VLOOKUP(C80,'PL NO.'!$B$3:$Q$374,4,0)</f>
        <v>LIGHT DUTY OVER TRAVEL CONTROL UNIT</v>
      </c>
      <c r="E80" s="22">
        <v>5.0</v>
      </c>
      <c r="F80" s="20"/>
      <c r="G80" s="20"/>
      <c r="H80" s="20"/>
      <c r="I80" s="20"/>
      <c r="J80" s="20"/>
      <c r="K80" s="20"/>
      <c r="L80" s="20"/>
      <c r="M80" s="20"/>
      <c r="N80" s="20"/>
      <c r="O80" s="20"/>
      <c r="P80" s="20"/>
      <c r="Q80" s="20"/>
      <c r="R80" s="20"/>
      <c r="S80" s="20"/>
      <c r="T80" s="20"/>
      <c r="U80" s="20"/>
      <c r="V80" s="20"/>
      <c r="W80" s="20"/>
      <c r="X80" s="20"/>
      <c r="Y80" s="20"/>
      <c r="Z80" s="20"/>
    </row>
    <row r="81" ht="56.25" customHeight="1">
      <c r="A81" s="21">
        <v>80.0</v>
      </c>
      <c r="B81" s="21" t="s">
        <v>1</v>
      </c>
      <c r="C81" s="22">
        <v>4.742048E7</v>
      </c>
      <c r="D81" s="21" t="str">
        <f>VLOOKUP(C81,'PL NO.'!$B$3:$Q$374,4,0)</f>
        <v>PROXIMITY SCANNER OF SENSING DISTANCE 10 CMS TO 90 CMS ADJUSTABLE. OPERATING VOLTAGE 15 V TO 260 V AC</v>
      </c>
      <c r="E81" s="22">
        <v>6.0</v>
      </c>
      <c r="F81" s="20"/>
      <c r="G81" s="20"/>
      <c r="H81" s="20"/>
      <c r="I81" s="20"/>
      <c r="J81" s="20"/>
      <c r="K81" s="20"/>
      <c r="L81" s="20"/>
      <c r="M81" s="20"/>
      <c r="N81" s="20"/>
      <c r="O81" s="20"/>
      <c r="P81" s="20"/>
      <c r="Q81" s="20"/>
      <c r="R81" s="20"/>
      <c r="S81" s="20"/>
      <c r="T81" s="20"/>
      <c r="U81" s="20"/>
      <c r="V81" s="20"/>
      <c r="W81" s="20"/>
      <c r="X81" s="20"/>
      <c r="Y81" s="20"/>
      <c r="Z81" s="20"/>
    </row>
    <row r="82" ht="56.25" customHeight="1">
      <c r="A82" s="21">
        <v>81.0</v>
      </c>
      <c r="B82" s="21" t="s">
        <v>710</v>
      </c>
      <c r="C82" s="22">
        <v>4.742048E7</v>
      </c>
      <c r="D82" s="21" t="str">
        <f>VLOOKUP(C82,'PL NO.'!$B$3:$Q$374,4,0)</f>
        <v>PROXIMITY SCANNER OF SENSING DISTANCE 10 CMS TO 90 CMS ADJUSTABLE. OPERATING VOLTAGE 15 V TO 260 V AC</v>
      </c>
      <c r="E82" s="22">
        <v>2.0</v>
      </c>
      <c r="F82" s="20"/>
      <c r="G82" s="20"/>
      <c r="H82" s="20"/>
      <c r="I82" s="20"/>
      <c r="J82" s="20"/>
      <c r="K82" s="20"/>
      <c r="L82" s="20"/>
      <c r="M82" s="20"/>
      <c r="N82" s="20"/>
      <c r="O82" s="20"/>
      <c r="P82" s="20"/>
      <c r="Q82" s="20"/>
      <c r="R82" s="20"/>
      <c r="S82" s="20"/>
      <c r="T82" s="20"/>
      <c r="U82" s="20"/>
      <c r="V82" s="20"/>
      <c r="W82" s="20"/>
      <c r="X82" s="20"/>
      <c r="Y82" s="20"/>
      <c r="Z82" s="20"/>
    </row>
    <row r="83" ht="56.25" customHeight="1">
      <c r="A83" s="21">
        <v>82.0</v>
      </c>
      <c r="B83" s="21" t="s">
        <v>711</v>
      </c>
      <c r="C83" s="22">
        <v>4.742048E7</v>
      </c>
      <c r="D83" s="21" t="str">
        <f>VLOOKUP(C83,'PL NO.'!$B$3:$Q$374,4,0)</f>
        <v>PROXIMITY SCANNER OF SENSING DISTANCE 10 CMS TO 90 CMS ADJUSTABLE. OPERATING VOLTAGE 15 V TO 260 V AC</v>
      </c>
      <c r="E83" s="22">
        <v>5.0</v>
      </c>
      <c r="F83" s="20"/>
      <c r="G83" s="20"/>
      <c r="H83" s="20"/>
      <c r="I83" s="20"/>
      <c r="J83" s="20"/>
      <c r="K83" s="20"/>
      <c r="L83" s="20"/>
      <c r="M83" s="20"/>
      <c r="N83" s="20"/>
      <c r="O83" s="20"/>
      <c r="P83" s="20"/>
      <c r="Q83" s="20"/>
      <c r="R83" s="20"/>
      <c r="S83" s="20"/>
      <c r="T83" s="20"/>
      <c r="U83" s="20"/>
      <c r="V83" s="20"/>
      <c r="W83" s="20"/>
      <c r="X83" s="20"/>
      <c r="Y83" s="20"/>
      <c r="Z83" s="20"/>
    </row>
    <row r="84" ht="56.25" customHeight="1">
      <c r="A84" s="21">
        <v>83.0</v>
      </c>
      <c r="B84" s="21" t="s">
        <v>709</v>
      </c>
      <c r="C84" s="22">
        <v>4.742048E7</v>
      </c>
      <c r="D84" s="21" t="str">
        <f>VLOOKUP(C84,'PL NO.'!$B$3:$Q$374,4,0)</f>
        <v>PROXIMITY SCANNER OF SENSING DISTANCE 10 CMS TO 90 CMS ADJUSTABLE. OPERATING VOLTAGE 15 V TO 260 V AC</v>
      </c>
      <c r="E84" s="22">
        <v>3.0</v>
      </c>
      <c r="F84" s="20"/>
      <c r="G84" s="20"/>
      <c r="H84" s="20"/>
      <c r="I84" s="20"/>
      <c r="J84" s="20"/>
      <c r="K84" s="20"/>
      <c r="L84" s="20"/>
      <c r="M84" s="20"/>
      <c r="N84" s="20"/>
      <c r="O84" s="20"/>
      <c r="P84" s="20"/>
      <c r="Q84" s="20"/>
      <c r="R84" s="20"/>
      <c r="S84" s="20"/>
      <c r="T84" s="20"/>
      <c r="U84" s="20"/>
      <c r="V84" s="20"/>
      <c r="W84" s="20"/>
      <c r="X84" s="20"/>
      <c r="Y84" s="20"/>
      <c r="Z84" s="20"/>
    </row>
    <row r="85" ht="56.25" customHeight="1">
      <c r="A85" s="21">
        <v>84.0</v>
      </c>
      <c r="B85" s="21" t="s">
        <v>0</v>
      </c>
      <c r="C85" s="22">
        <v>4.7983516E7</v>
      </c>
      <c r="D85" s="21" t="str">
        <f>VLOOKUP(C85,'PL NO.'!$B$3:$Q$374,4,0)</f>
        <v>RUBBER MOULDED FEMALE SOCKET &amp; MALE PLUG</v>
      </c>
      <c r="E85" s="22">
        <v>4.0</v>
      </c>
      <c r="F85" s="20"/>
      <c r="G85" s="20"/>
      <c r="H85" s="20"/>
      <c r="I85" s="20"/>
      <c r="J85" s="20"/>
      <c r="K85" s="20"/>
      <c r="L85" s="20"/>
      <c r="M85" s="20"/>
      <c r="N85" s="20"/>
      <c r="O85" s="20"/>
      <c r="P85" s="20"/>
      <c r="Q85" s="20"/>
      <c r="R85" s="20"/>
      <c r="S85" s="20"/>
      <c r="T85" s="20"/>
      <c r="U85" s="20"/>
      <c r="V85" s="20"/>
      <c r="W85" s="20"/>
      <c r="X85" s="20"/>
      <c r="Y85" s="20"/>
      <c r="Z85" s="20"/>
    </row>
    <row r="86" ht="56.25" customHeight="1">
      <c r="A86" s="21">
        <v>85.0</v>
      </c>
      <c r="B86" s="21" t="s">
        <v>2</v>
      </c>
      <c r="C86" s="22">
        <v>7.3641819E7</v>
      </c>
      <c r="D86" s="21" t="str">
        <f>VLOOKUP(C86,'PL NO.'!$B$3:$Q$374,4,0)</f>
        <v>SCREWS WITH TWO NUTS TWO FLAT WASHERS OF SCREWS SIZE M5 AND LENGTH 60MM</v>
      </c>
      <c r="E86" s="22">
        <v>100.0</v>
      </c>
      <c r="F86" s="20"/>
      <c r="G86" s="20"/>
      <c r="H86" s="20"/>
      <c r="I86" s="20"/>
      <c r="J86" s="20"/>
      <c r="K86" s="20"/>
      <c r="L86" s="20"/>
      <c r="M86" s="20"/>
      <c r="N86" s="20"/>
      <c r="O86" s="20"/>
      <c r="P86" s="20"/>
      <c r="Q86" s="20"/>
      <c r="R86" s="20"/>
      <c r="S86" s="20"/>
      <c r="T86" s="20"/>
      <c r="U86" s="20"/>
      <c r="V86" s="20"/>
      <c r="W86" s="20"/>
      <c r="X86" s="20"/>
      <c r="Y86" s="20"/>
      <c r="Z86" s="20"/>
    </row>
    <row r="87" ht="56.25" customHeight="1">
      <c r="A87" s="21">
        <v>86.0</v>
      </c>
      <c r="B87" s="21" t="s">
        <v>1</v>
      </c>
      <c r="C87" s="22">
        <v>8.1050628E7</v>
      </c>
      <c r="D87" s="21" t="str">
        <f>VLOOKUP(C87,'PL NO.'!$B$3:$Q$374,4,0)</f>
        <v>LIQUID SOAP</v>
      </c>
      <c r="E87" s="22">
        <v>5.0</v>
      </c>
      <c r="F87" s="20"/>
      <c r="G87" s="20"/>
      <c r="H87" s="20"/>
      <c r="I87" s="20"/>
      <c r="J87" s="20"/>
      <c r="K87" s="20"/>
      <c r="L87" s="20"/>
      <c r="M87" s="20"/>
      <c r="N87" s="20"/>
      <c r="O87" s="20"/>
      <c r="P87" s="20"/>
      <c r="Q87" s="20"/>
      <c r="R87" s="20"/>
      <c r="S87" s="20"/>
      <c r="T87" s="20"/>
      <c r="U87" s="20"/>
      <c r="V87" s="20"/>
      <c r="W87" s="20"/>
      <c r="X87" s="20"/>
      <c r="Y87" s="20"/>
      <c r="Z87" s="20"/>
    </row>
    <row r="88" ht="56.25" customHeight="1">
      <c r="A88" s="21">
        <v>87.0</v>
      </c>
      <c r="B88" s="21" t="s">
        <v>712</v>
      </c>
      <c r="C88" s="22">
        <v>8.30494E7</v>
      </c>
      <c r="D88" s="21" t="str">
        <f>VLOOKUP(C88,'PL NO.'!$B$3:$Q$374,4,0)</f>
        <v>PAPER PHOTOCOPIER</v>
      </c>
      <c r="E88" s="22">
        <v>1.0</v>
      </c>
      <c r="F88" s="20"/>
      <c r="G88" s="20"/>
      <c r="H88" s="20"/>
      <c r="I88" s="20"/>
      <c r="J88" s="20"/>
      <c r="K88" s="20"/>
      <c r="L88" s="20"/>
      <c r="M88" s="20"/>
      <c r="N88" s="20"/>
      <c r="O88" s="20"/>
      <c r="P88" s="20"/>
      <c r="Q88" s="20"/>
      <c r="R88" s="20"/>
      <c r="S88" s="20"/>
      <c r="T88" s="20"/>
      <c r="U88" s="20"/>
      <c r="V88" s="20"/>
      <c r="W88" s="20"/>
      <c r="X88" s="20"/>
      <c r="Y88" s="20"/>
      <c r="Z88" s="20"/>
    </row>
    <row r="89" ht="56.25" customHeight="1">
      <c r="A89" s="21">
        <v>88.0</v>
      </c>
      <c r="B89" s="21" t="s">
        <v>1</v>
      </c>
      <c r="C89" s="22">
        <v>8.30494E7</v>
      </c>
      <c r="D89" s="21" t="str">
        <f>VLOOKUP(C89,'PL NO.'!$B$3:$Q$374,4,0)</f>
        <v>PAPER PHOTOCOPIER</v>
      </c>
      <c r="E89" s="22">
        <v>1.0</v>
      </c>
      <c r="F89" s="20"/>
      <c r="G89" s="20"/>
      <c r="H89" s="20"/>
      <c r="I89" s="20"/>
      <c r="J89" s="20"/>
      <c r="K89" s="20"/>
      <c r="L89" s="20"/>
      <c r="M89" s="20"/>
      <c r="N89" s="20"/>
      <c r="O89" s="20"/>
      <c r="P89" s="20"/>
      <c r="Q89" s="20"/>
      <c r="R89" s="20"/>
      <c r="S89" s="20"/>
      <c r="T89" s="20"/>
      <c r="U89" s="20"/>
      <c r="V89" s="20"/>
      <c r="W89" s="20"/>
      <c r="X89" s="20"/>
      <c r="Y89" s="20"/>
      <c r="Z89" s="20"/>
    </row>
    <row r="90" ht="56.25" customHeight="1">
      <c r="A90" s="21">
        <v>89.0</v>
      </c>
      <c r="B90" s="21" t="s">
        <v>0</v>
      </c>
      <c r="C90" s="22">
        <v>8.30494E7</v>
      </c>
      <c r="D90" s="21" t="str">
        <f>VLOOKUP(C90,'PL NO.'!$B$3:$Q$374,4,0)</f>
        <v>PAPER PHOTOCOPIER</v>
      </c>
      <c r="E90" s="22">
        <v>1.0</v>
      </c>
      <c r="F90" s="20"/>
      <c r="G90" s="20"/>
      <c r="H90" s="20"/>
      <c r="I90" s="20"/>
      <c r="J90" s="20"/>
      <c r="K90" s="20"/>
      <c r="L90" s="20"/>
      <c r="M90" s="20"/>
      <c r="N90" s="20"/>
      <c r="O90" s="20"/>
      <c r="P90" s="20"/>
      <c r="Q90" s="20"/>
      <c r="R90" s="20"/>
      <c r="S90" s="20"/>
      <c r="T90" s="20"/>
      <c r="U90" s="20"/>
      <c r="V90" s="20"/>
      <c r="W90" s="20"/>
      <c r="X90" s="20"/>
      <c r="Y90" s="20"/>
      <c r="Z90" s="20"/>
    </row>
    <row r="91" ht="56.25" customHeight="1">
      <c r="A91" s="24"/>
      <c r="B91" s="24"/>
      <c r="C91" s="24"/>
      <c r="D91" s="24"/>
      <c r="E91" s="25"/>
      <c r="F91" s="20"/>
      <c r="G91" s="20"/>
      <c r="H91" s="20"/>
      <c r="I91" s="20"/>
      <c r="J91" s="20"/>
      <c r="K91" s="20"/>
      <c r="L91" s="20"/>
      <c r="M91" s="20"/>
      <c r="N91" s="20"/>
      <c r="O91" s="20"/>
      <c r="P91" s="20"/>
      <c r="Q91" s="20"/>
      <c r="R91" s="20"/>
      <c r="S91" s="20"/>
      <c r="T91" s="20"/>
      <c r="U91" s="20"/>
      <c r="V91" s="20"/>
      <c r="W91" s="20"/>
      <c r="X91" s="20"/>
      <c r="Y91" s="20"/>
      <c r="Z91" s="20"/>
    </row>
    <row r="92" ht="56.25" customHeight="1">
      <c r="A92" s="24"/>
      <c r="B92" s="24"/>
      <c r="C92" s="24"/>
      <c r="D92" s="24"/>
      <c r="E92" s="25"/>
      <c r="F92" s="20"/>
      <c r="G92" s="20"/>
      <c r="H92" s="20"/>
      <c r="I92" s="20"/>
      <c r="J92" s="20"/>
      <c r="K92" s="20"/>
      <c r="L92" s="20"/>
      <c r="M92" s="20"/>
      <c r="N92" s="20"/>
      <c r="O92" s="20"/>
      <c r="P92" s="20"/>
      <c r="Q92" s="20"/>
      <c r="R92" s="20"/>
      <c r="S92" s="20"/>
      <c r="T92" s="20"/>
      <c r="U92" s="20"/>
      <c r="V92" s="20"/>
      <c r="W92" s="20"/>
      <c r="X92" s="20"/>
      <c r="Y92" s="20"/>
      <c r="Z92" s="20"/>
    </row>
    <row r="93" ht="56.25" customHeight="1">
      <c r="A93" s="24"/>
      <c r="B93" s="24"/>
      <c r="C93" s="24"/>
      <c r="D93" s="24"/>
      <c r="E93" s="25"/>
      <c r="F93" s="20"/>
      <c r="G93" s="20"/>
      <c r="H93" s="20"/>
      <c r="I93" s="20"/>
      <c r="J93" s="20"/>
      <c r="K93" s="20"/>
      <c r="L93" s="20"/>
      <c r="M93" s="20"/>
      <c r="N93" s="20"/>
      <c r="O93" s="20"/>
      <c r="P93" s="20"/>
      <c r="Q93" s="20"/>
      <c r="R93" s="20"/>
      <c r="S93" s="20"/>
      <c r="T93" s="20"/>
      <c r="U93" s="20"/>
      <c r="V93" s="20"/>
      <c r="W93" s="20"/>
      <c r="X93" s="20"/>
      <c r="Y93" s="20"/>
      <c r="Z93" s="20"/>
    </row>
    <row r="94" ht="56.25" customHeight="1">
      <c r="A94" s="24"/>
      <c r="B94" s="24"/>
      <c r="C94" s="24"/>
      <c r="D94" s="24"/>
      <c r="E94" s="25"/>
      <c r="F94" s="20"/>
      <c r="G94" s="20"/>
      <c r="H94" s="20"/>
      <c r="I94" s="20"/>
      <c r="J94" s="20"/>
      <c r="K94" s="20"/>
      <c r="L94" s="20"/>
      <c r="M94" s="20"/>
      <c r="N94" s="20"/>
      <c r="O94" s="20"/>
      <c r="P94" s="20"/>
      <c r="Q94" s="20"/>
      <c r="R94" s="20"/>
      <c r="S94" s="20"/>
      <c r="T94" s="20"/>
      <c r="U94" s="20"/>
      <c r="V94" s="20"/>
      <c r="W94" s="20"/>
      <c r="X94" s="20"/>
      <c r="Y94" s="20"/>
      <c r="Z94" s="20"/>
    </row>
    <row r="95" ht="56.25" customHeight="1">
      <c r="A95" s="24"/>
      <c r="B95" s="24"/>
      <c r="C95" s="24"/>
      <c r="D95" s="24"/>
      <c r="E95" s="25"/>
      <c r="F95" s="20"/>
      <c r="G95" s="20"/>
      <c r="H95" s="20"/>
      <c r="I95" s="20"/>
      <c r="J95" s="20"/>
      <c r="K95" s="20"/>
      <c r="L95" s="20"/>
      <c r="M95" s="20"/>
      <c r="N95" s="20"/>
      <c r="O95" s="20"/>
      <c r="P95" s="20"/>
      <c r="Q95" s="20"/>
      <c r="R95" s="20"/>
      <c r="S95" s="20"/>
      <c r="T95" s="20"/>
      <c r="U95" s="20"/>
      <c r="V95" s="20"/>
      <c r="W95" s="20"/>
      <c r="X95" s="20"/>
      <c r="Y95" s="20"/>
      <c r="Z95" s="20"/>
    </row>
    <row r="96" ht="56.25" customHeight="1">
      <c r="A96" s="24"/>
      <c r="B96" s="24"/>
      <c r="C96" s="24"/>
      <c r="D96" s="24"/>
      <c r="E96" s="25"/>
      <c r="F96" s="20"/>
      <c r="G96" s="20"/>
      <c r="H96" s="20"/>
      <c r="I96" s="20"/>
      <c r="J96" s="20"/>
      <c r="K96" s="20"/>
      <c r="L96" s="20"/>
      <c r="M96" s="20"/>
      <c r="N96" s="20"/>
      <c r="O96" s="20"/>
      <c r="P96" s="20"/>
      <c r="Q96" s="20"/>
      <c r="R96" s="20"/>
      <c r="S96" s="20"/>
      <c r="T96" s="20"/>
      <c r="U96" s="20"/>
      <c r="V96" s="20"/>
      <c r="W96" s="20"/>
      <c r="X96" s="20"/>
      <c r="Y96" s="20"/>
      <c r="Z96" s="20"/>
    </row>
    <row r="97" ht="56.25" customHeight="1">
      <c r="A97" s="24"/>
      <c r="B97" s="24"/>
      <c r="C97" s="24"/>
      <c r="D97" s="24"/>
      <c r="E97" s="25"/>
      <c r="F97" s="20"/>
      <c r="G97" s="20"/>
      <c r="H97" s="20"/>
      <c r="I97" s="20"/>
      <c r="J97" s="20"/>
      <c r="K97" s="20"/>
      <c r="L97" s="20"/>
      <c r="M97" s="20"/>
      <c r="N97" s="20"/>
      <c r="O97" s="20"/>
      <c r="P97" s="20"/>
      <c r="Q97" s="20"/>
      <c r="R97" s="20"/>
      <c r="S97" s="20"/>
      <c r="T97" s="20"/>
      <c r="U97" s="20"/>
      <c r="V97" s="20"/>
      <c r="W97" s="20"/>
      <c r="X97" s="20"/>
      <c r="Y97" s="20"/>
      <c r="Z97" s="20"/>
    </row>
    <row r="98" ht="56.25" customHeight="1">
      <c r="A98" s="24"/>
      <c r="B98" s="24"/>
      <c r="C98" s="24"/>
      <c r="D98" s="24"/>
      <c r="E98" s="25"/>
      <c r="F98" s="20"/>
      <c r="G98" s="20"/>
      <c r="H98" s="20"/>
      <c r="I98" s="20"/>
      <c r="J98" s="20"/>
      <c r="K98" s="20"/>
      <c r="L98" s="20"/>
      <c r="M98" s="20"/>
      <c r="N98" s="20"/>
      <c r="O98" s="20"/>
      <c r="P98" s="20"/>
      <c r="Q98" s="20"/>
      <c r="R98" s="20"/>
      <c r="S98" s="20"/>
      <c r="T98" s="20"/>
      <c r="U98" s="20"/>
      <c r="V98" s="20"/>
      <c r="W98" s="20"/>
      <c r="X98" s="20"/>
      <c r="Y98" s="20"/>
      <c r="Z98" s="20"/>
    </row>
    <row r="99" ht="56.25" customHeight="1">
      <c r="A99" s="24"/>
      <c r="B99" s="24"/>
      <c r="C99" s="24"/>
      <c r="D99" s="24"/>
      <c r="E99" s="25"/>
      <c r="F99" s="20"/>
      <c r="G99" s="20"/>
      <c r="H99" s="20"/>
      <c r="I99" s="20"/>
      <c r="J99" s="20"/>
      <c r="K99" s="20"/>
      <c r="L99" s="20"/>
      <c r="M99" s="20"/>
      <c r="N99" s="20"/>
      <c r="O99" s="20"/>
      <c r="P99" s="20"/>
      <c r="Q99" s="20"/>
      <c r="R99" s="20"/>
      <c r="S99" s="20"/>
      <c r="T99" s="20"/>
      <c r="U99" s="20"/>
      <c r="V99" s="20"/>
      <c r="W99" s="20"/>
      <c r="X99" s="20"/>
      <c r="Y99" s="20"/>
      <c r="Z99" s="20"/>
    </row>
    <row r="100" ht="56.25" customHeight="1">
      <c r="A100" s="24"/>
      <c r="B100" s="24"/>
      <c r="C100" s="24"/>
      <c r="D100" s="24"/>
      <c r="E100" s="25"/>
      <c r="F100" s="20"/>
      <c r="G100" s="20"/>
      <c r="H100" s="20"/>
      <c r="I100" s="20"/>
      <c r="J100" s="20"/>
      <c r="K100" s="20"/>
      <c r="L100" s="20"/>
      <c r="M100" s="20"/>
      <c r="N100" s="20"/>
      <c r="O100" s="20"/>
      <c r="P100" s="20"/>
      <c r="Q100" s="20"/>
      <c r="R100" s="20"/>
      <c r="S100" s="20"/>
      <c r="T100" s="20"/>
      <c r="U100" s="20"/>
      <c r="V100" s="20"/>
      <c r="W100" s="20"/>
      <c r="X100" s="20"/>
      <c r="Y100" s="20"/>
      <c r="Z100" s="20"/>
    </row>
    <row r="101" ht="56.25" customHeight="1">
      <c r="A101" s="24"/>
      <c r="B101" s="24"/>
      <c r="C101" s="24"/>
      <c r="D101" s="24"/>
      <c r="E101" s="25"/>
      <c r="F101" s="20"/>
      <c r="G101" s="20"/>
      <c r="H101" s="20"/>
      <c r="I101" s="20"/>
      <c r="J101" s="20"/>
      <c r="K101" s="20"/>
      <c r="L101" s="20"/>
      <c r="M101" s="20"/>
      <c r="N101" s="20"/>
      <c r="O101" s="20"/>
      <c r="P101" s="20"/>
      <c r="Q101" s="20"/>
      <c r="R101" s="20"/>
      <c r="S101" s="20"/>
      <c r="T101" s="20"/>
      <c r="U101" s="20"/>
      <c r="V101" s="20"/>
      <c r="W101" s="20"/>
      <c r="X101" s="20"/>
      <c r="Y101" s="20"/>
      <c r="Z101" s="20"/>
    </row>
    <row r="102" ht="56.25" customHeight="1">
      <c r="A102" s="24"/>
      <c r="B102" s="24"/>
      <c r="C102" s="24"/>
      <c r="D102" s="24"/>
      <c r="E102" s="25"/>
      <c r="F102" s="20"/>
      <c r="G102" s="20"/>
      <c r="H102" s="20"/>
      <c r="I102" s="20"/>
      <c r="J102" s="20"/>
      <c r="K102" s="20"/>
      <c r="L102" s="20"/>
      <c r="M102" s="20"/>
      <c r="N102" s="20"/>
      <c r="O102" s="20"/>
      <c r="P102" s="20"/>
      <c r="Q102" s="20"/>
      <c r="R102" s="20"/>
      <c r="S102" s="20"/>
      <c r="T102" s="20"/>
      <c r="U102" s="20"/>
      <c r="V102" s="20"/>
      <c r="W102" s="20"/>
      <c r="X102" s="20"/>
      <c r="Y102" s="20"/>
      <c r="Z102" s="20"/>
    </row>
    <row r="103" ht="56.25" customHeight="1">
      <c r="A103" s="24"/>
      <c r="B103" s="24"/>
      <c r="C103" s="24"/>
      <c r="D103" s="24"/>
      <c r="E103" s="25"/>
      <c r="F103" s="20"/>
      <c r="G103" s="20"/>
      <c r="H103" s="20"/>
      <c r="I103" s="20"/>
      <c r="J103" s="20"/>
      <c r="K103" s="20"/>
      <c r="L103" s="20"/>
      <c r="M103" s="20"/>
      <c r="N103" s="20"/>
      <c r="O103" s="20"/>
      <c r="P103" s="20"/>
      <c r="Q103" s="20"/>
      <c r="R103" s="20"/>
      <c r="S103" s="20"/>
      <c r="T103" s="20"/>
      <c r="U103" s="20"/>
      <c r="V103" s="20"/>
      <c r="W103" s="20"/>
      <c r="X103" s="20"/>
      <c r="Y103" s="20"/>
      <c r="Z103" s="20"/>
    </row>
    <row r="104" ht="56.25" customHeight="1">
      <c r="A104" s="24"/>
      <c r="B104" s="24"/>
      <c r="C104" s="24"/>
      <c r="D104" s="24"/>
      <c r="E104" s="25"/>
      <c r="F104" s="20"/>
      <c r="G104" s="20"/>
      <c r="H104" s="20"/>
      <c r="I104" s="20"/>
      <c r="J104" s="20"/>
      <c r="K104" s="20"/>
      <c r="L104" s="20"/>
      <c r="M104" s="20"/>
      <c r="N104" s="20"/>
      <c r="O104" s="20"/>
      <c r="P104" s="20"/>
      <c r="Q104" s="20"/>
      <c r="R104" s="20"/>
      <c r="S104" s="20"/>
      <c r="T104" s="20"/>
      <c r="U104" s="20"/>
      <c r="V104" s="20"/>
      <c r="W104" s="20"/>
      <c r="X104" s="20"/>
      <c r="Y104" s="20"/>
      <c r="Z104" s="20"/>
    </row>
    <row r="105" ht="56.25" customHeight="1">
      <c r="A105" s="24"/>
      <c r="B105" s="24"/>
      <c r="C105" s="24"/>
      <c r="D105" s="24"/>
      <c r="E105" s="25"/>
      <c r="F105" s="20"/>
      <c r="G105" s="20"/>
      <c r="H105" s="20"/>
      <c r="I105" s="20"/>
      <c r="J105" s="20"/>
      <c r="K105" s="20"/>
      <c r="L105" s="20"/>
      <c r="M105" s="20"/>
      <c r="N105" s="20"/>
      <c r="O105" s="20"/>
      <c r="P105" s="20"/>
      <c r="Q105" s="20"/>
      <c r="R105" s="20"/>
      <c r="S105" s="20"/>
      <c r="T105" s="20"/>
      <c r="U105" s="20"/>
      <c r="V105" s="20"/>
      <c r="W105" s="20"/>
      <c r="X105" s="20"/>
      <c r="Y105" s="20"/>
      <c r="Z105" s="20"/>
    </row>
    <row r="106" ht="56.25" customHeight="1">
      <c r="A106" s="24"/>
      <c r="B106" s="24"/>
      <c r="C106" s="24"/>
      <c r="D106" s="24"/>
      <c r="E106" s="25"/>
      <c r="F106" s="20"/>
      <c r="G106" s="20"/>
      <c r="H106" s="20"/>
      <c r="I106" s="20"/>
      <c r="J106" s="20"/>
      <c r="K106" s="20"/>
      <c r="L106" s="20"/>
      <c r="M106" s="20"/>
      <c r="N106" s="20"/>
      <c r="O106" s="20"/>
      <c r="P106" s="20"/>
      <c r="Q106" s="20"/>
      <c r="R106" s="20"/>
      <c r="S106" s="20"/>
      <c r="T106" s="20"/>
      <c r="U106" s="20"/>
      <c r="V106" s="20"/>
      <c r="W106" s="20"/>
      <c r="X106" s="20"/>
      <c r="Y106" s="20"/>
      <c r="Z106" s="20"/>
    </row>
    <row r="107" ht="56.25" customHeight="1">
      <c r="A107" s="24"/>
      <c r="B107" s="24"/>
      <c r="C107" s="24"/>
      <c r="D107" s="24"/>
      <c r="E107" s="25"/>
      <c r="F107" s="20"/>
      <c r="G107" s="20"/>
      <c r="H107" s="20"/>
      <c r="I107" s="20"/>
      <c r="J107" s="20"/>
      <c r="K107" s="20"/>
      <c r="L107" s="20"/>
      <c r="M107" s="20"/>
      <c r="N107" s="20"/>
      <c r="O107" s="20"/>
      <c r="P107" s="20"/>
      <c r="Q107" s="20"/>
      <c r="R107" s="20"/>
      <c r="S107" s="20"/>
      <c r="T107" s="20"/>
      <c r="U107" s="20"/>
      <c r="V107" s="20"/>
      <c r="W107" s="20"/>
      <c r="X107" s="20"/>
      <c r="Y107" s="20"/>
      <c r="Z107" s="20"/>
    </row>
    <row r="108" ht="56.25" customHeight="1">
      <c r="A108" s="24"/>
      <c r="B108" s="24"/>
      <c r="C108" s="24"/>
      <c r="D108" s="24"/>
      <c r="E108" s="25"/>
      <c r="F108" s="20"/>
      <c r="G108" s="20"/>
      <c r="H108" s="20"/>
      <c r="I108" s="20"/>
      <c r="J108" s="20"/>
      <c r="K108" s="20"/>
      <c r="L108" s="20"/>
      <c r="M108" s="20"/>
      <c r="N108" s="20"/>
      <c r="O108" s="20"/>
      <c r="P108" s="20"/>
      <c r="Q108" s="20"/>
      <c r="R108" s="20"/>
      <c r="S108" s="20"/>
      <c r="T108" s="20"/>
      <c r="U108" s="20"/>
      <c r="V108" s="20"/>
      <c r="W108" s="20"/>
      <c r="X108" s="20"/>
      <c r="Y108" s="20"/>
      <c r="Z108" s="20"/>
    </row>
    <row r="109" ht="56.25" customHeight="1">
      <c r="A109" s="24"/>
      <c r="B109" s="24"/>
      <c r="C109" s="24"/>
      <c r="D109" s="24"/>
      <c r="E109" s="25"/>
      <c r="F109" s="20"/>
      <c r="G109" s="20"/>
      <c r="H109" s="20"/>
      <c r="I109" s="20"/>
      <c r="J109" s="20"/>
      <c r="K109" s="20"/>
      <c r="L109" s="20"/>
      <c r="M109" s="20"/>
      <c r="N109" s="20"/>
      <c r="O109" s="20"/>
      <c r="P109" s="20"/>
      <c r="Q109" s="20"/>
      <c r="R109" s="20"/>
      <c r="S109" s="20"/>
      <c r="T109" s="20"/>
      <c r="U109" s="20"/>
      <c r="V109" s="20"/>
      <c r="W109" s="20"/>
      <c r="X109" s="20"/>
      <c r="Y109" s="20"/>
      <c r="Z109" s="20"/>
    </row>
    <row r="110" ht="56.25" customHeight="1">
      <c r="A110" s="24"/>
      <c r="B110" s="24"/>
      <c r="C110" s="24"/>
      <c r="D110" s="24"/>
      <c r="E110" s="25"/>
      <c r="F110" s="20"/>
      <c r="G110" s="20"/>
      <c r="H110" s="20"/>
      <c r="I110" s="20"/>
      <c r="J110" s="20"/>
      <c r="K110" s="20"/>
      <c r="L110" s="20"/>
      <c r="M110" s="20"/>
      <c r="N110" s="20"/>
      <c r="O110" s="20"/>
      <c r="P110" s="20"/>
      <c r="Q110" s="20"/>
      <c r="R110" s="20"/>
      <c r="S110" s="20"/>
      <c r="T110" s="20"/>
      <c r="U110" s="20"/>
      <c r="V110" s="20"/>
      <c r="W110" s="20"/>
      <c r="X110" s="20"/>
      <c r="Y110" s="20"/>
      <c r="Z110" s="20"/>
    </row>
    <row r="111" ht="56.25" customHeight="1">
      <c r="A111" s="24"/>
      <c r="B111" s="24"/>
      <c r="C111" s="24"/>
      <c r="D111" s="24"/>
      <c r="E111" s="25"/>
      <c r="F111" s="20"/>
      <c r="G111" s="20"/>
      <c r="H111" s="20"/>
      <c r="I111" s="20"/>
      <c r="J111" s="20"/>
      <c r="K111" s="20"/>
      <c r="L111" s="20"/>
      <c r="M111" s="20"/>
      <c r="N111" s="20"/>
      <c r="O111" s="20"/>
      <c r="P111" s="20"/>
      <c r="Q111" s="20"/>
      <c r="R111" s="20"/>
      <c r="S111" s="20"/>
      <c r="T111" s="20"/>
      <c r="U111" s="20"/>
      <c r="V111" s="20"/>
      <c r="W111" s="20"/>
      <c r="X111" s="20"/>
      <c r="Y111" s="20"/>
      <c r="Z111" s="20"/>
    </row>
    <row r="112" ht="56.25" customHeight="1">
      <c r="A112" s="24"/>
      <c r="B112" s="24"/>
      <c r="C112" s="24"/>
      <c r="D112" s="24"/>
      <c r="E112" s="25"/>
      <c r="F112" s="20"/>
      <c r="G112" s="20"/>
      <c r="H112" s="20"/>
      <c r="I112" s="20"/>
      <c r="J112" s="20"/>
      <c r="K112" s="20"/>
      <c r="L112" s="20"/>
      <c r="M112" s="20"/>
      <c r="N112" s="20"/>
      <c r="O112" s="20"/>
      <c r="P112" s="20"/>
      <c r="Q112" s="20"/>
      <c r="R112" s="20"/>
      <c r="S112" s="20"/>
      <c r="T112" s="20"/>
      <c r="U112" s="20"/>
      <c r="V112" s="20"/>
      <c r="W112" s="20"/>
      <c r="X112" s="20"/>
      <c r="Y112" s="20"/>
      <c r="Z112" s="20"/>
    </row>
    <row r="113" ht="56.25" customHeight="1">
      <c r="A113" s="24"/>
      <c r="B113" s="24"/>
      <c r="C113" s="24"/>
      <c r="D113" s="24"/>
      <c r="E113" s="25"/>
      <c r="F113" s="20"/>
      <c r="G113" s="20"/>
      <c r="H113" s="20"/>
      <c r="I113" s="20"/>
      <c r="J113" s="20"/>
      <c r="K113" s="20"/>
      <c r="L113" s="20"/>
      <c r="M113" s="20"/>
      <c r="N113" s="20"/>
      <c r="O113" s="20"/>
      <c r="P113" s="20"/>
      <c r="Q113" s="20"/>
      <c r="R113" s="20"/>
      <c r="S113" s="20"/>
      <c r="T113" s="20"/>
      <c r="U113" s="20"/>
      <c r="V113" s="20"/>
      <c r="W113" s="20"/>
      <c r="X113" s="20"/>
      <c r="Y113" s="20"/>
      <c r="Z113" s="20"/>
    </row>
    <row r="114" ht="56.25" customHeight="1">
      <c r="A114" s="24"/>
      <c r="B114" s="24"/>
      <c r="C114" s="24"/>
      <c r="D114" s="24"/>
      <c r="E114" s="25"/>
      <c r="F114" s="20"/>
      <c r="G114" s="20"/>
      <c r="H114" s="20"/>
      <c r="I114" s="20"/>
      <c r="J114" s="20"/>
      <c r="K114" s="20"/>
      <c r="L114" s="20"/>
      <c r="M114" s="20"/>
      <c r="N114" s="20"/>
      <c r="O114" s="20"/>
      <c r="P114" s="20"/>
      <c r="Q114" s="20"/>
      <c r="R114" s="20"/>
      <c r="S114" s="20"/>
      <c r="T114" s="20"/>
      <c r="U114" s="20"/>
      <c r="V114" s="20"/>
      <c r="W114" s="20"/>
      <c r="X114" s="20"/>
      <c r="Y114" s="20"/>
      <c r="Z114" s="20"/>
    </row>
    <row r="115" ht="56.25" customHeight="1">
      <c r="A115" s="24"/>
      <c r="B115" s="24"/>
      <c r="C115" s="24"/>
      <c r="D115" s="24"/>
      <c r="E115" s="25"/>
      <c r="F115" s="20"/>
      <c r="G115" s="20"/>
      <c r="H115" s="20"/>
      <c r="I115" s="20"/>
      <c r="J115" s="20"/>
      <c r="K115" s="20"/>
      <c r="L115" s="20"/>
      <c r="M115" s="20"/>
      <c r="N115" s="20"/>
      <c r="O115" s="20"/>
      <c r="P115" s="20"/>
      <c r="Q115" s="20"/>
      <c r="R115" s="20"/>
      <c r="S115" s="20"/>
      <c r="T115" s="20"/>
      <c r="U115" s="20"/>
      <c r="V115" s="20"/>
      <c r="W115" s="20"/>
      <c r="X115" s="20"/>
      <c r="Y115" s="20"/>
      <c r="Z115" s="20"/>
    </row>
    <row r="116" ht="56.25" customHeight="1">
      <c r="A116" s="24"/>
      <c r="B116" s="24"/>
      <c r="C116" s="24"/>
      <c r="D116" s="24"/>
      <c r="E116" s="25"/>
      <c r="F116" s="20"/>
      <c r="G116" s="20"/>
      <c r="H116" s="20"/>
      <c r="I116" s="20"/>
      <c r="J116" s="20"/>
      <c r="K116" s="20"/>
      <c r="L116" s="20"/>
      <c r="M116" s="20"/>
      <c r="N116" s="20"/>
      <c r="O116" s="20"/>
      <c r="P116" s="20"/>
      <c r="Q116" s="20"/>
      <c r="R116" s="20"/>
      <c r="S116" s="20"/>
      <c r="T116" s="20"/>
      <c r="U116" s="20"/>
      <c r="V116" s="20"/>
      <c r="W116" s="20"/>
      <c r="X116" s="20"/>
      <c r="Y116" s="20"/>
      <c r="Z116" s="20"/>
    </row>
    <row r="117" ht="56.25" customHeight="1">
      <c r="A117" s="24"/>
      <c r="B117" s="24"/>
      <c r="C117" s="24"/>
      <c r="D117" s="24"/>
      <c r="E117" s="25"/>
      <c r="F117" s="20"/>
      <c r="G117" s="20"/>
      <c r="H117" s="20"/>
      <c r="I117" s="20"/>
      <c r="J117" s="20"/>
      <c r="K117" s="20"/>
      <c r="L117" s="20"/>
      <c r="M117" s="20"/>
      <c r="N117" s="20"/>
      <c r="O117" s="20"/>
      <c r="P117" s="20"/>
      <c r="Q117" s="20"/>
      <c r="R117" s="20"/>
      <c r="S117" s="20"/>
      <c r="T117" s="20"/>
      <c r="U117" s="20"/>
      <c r="V117" s="20"/>
      <c r="W117" s="20"/>
      <c r="X117" s="20"/>
      <c r="Y117" s="20"/>
      <c r="Z117" s="20"/>
    </row>
    <row r="118" ht="56.25" customHeight="1">
      <c r="A118" s="24"/>
      <c r="B118" s="24"/>
      <c r="C118" s="24"/>
      <c r="D118" s="24"/>
      <c r="E118" s="25"/>
      <c r="F118" s="20"/>
      <c r="G118" s="20"/>
      <c r="H118" s="20"/>
      <c r="I118" s="20"/>
      <c r="J118" s="20"/>
      <c r="K118" s="20"/>
      <c r="L118" s="20"/>
      <c r="M118" s="20"/>
      <c r="N118" s="20"/>
      <c r="O118" s="20"/>
      <c r="P118" s="20"/>
      <c r="Q118" s="20"/>
      <c r="R118" s="20"/>
      <c r="S118" s="20"/>
      <c r="T118" s="20"/>
      <c r="U118" s="20"/>
      <c r="V118" s="20"/>
      <c r="W118" s="20"/>
      <c r="X118" s="20"/>
      <c r="Y118" s="20"/>
      <c r="Z118" s="20"/>
    </row>
    <row r="119" ht="56.25" customHeight="1">
      <c r="A119" s="24"/>
      <c r="B119" s="24"/>
      <c r="C119" s="24"/>
      <c r="D119" s="24"/>
      <c r="E119" s="25"/>
      <c r="F119" s="20"/>
      <c r="G119" s="20"/>
      <c r="H119" s="20"/>
      <c r="I119" s="20"/>
      <c r="J119" s="20"/>
      <c r="K119" s="20"/>
      <c r="L119" s="20"/>
      <c r="M119" s="20"/>
      <c r="N119" s="20"/>
      <c r="O119" s="20"/>
      <c r="P119" s="20"/>
      <c r="Q119" s="20"/>
      <c r="R119" s="20"/>
      <c r="S119" s="20"/>
      <c r="T119" s="20"/>
      <c r="U119" s="20"/>
      <c r="V119" s="20"/>
      <c r="W119" s="20"/>
      <c r="X119" s="20"/>
      <c r="Y119" s="20"/>
      <c r="Z119" s="20"/>
    </row>
    <row r="120" ht="56.25" customHeight="1">
      <c r="A120" s="24"/>
      <c r="B120" s="24"/>
      <c r="C120" s="24"/>
      <c r="D120" s="24"/>
      <c r="E120" s="25"/>
      <c r="F120" s="20"/>
      <c r="G120" s="20"/>
      <c r="H120" s="20"/>
      <c r="I120" s="20"/>
      <c r="J120" s="20"/>
      <c r="K120" s="20"/>
      <c r="L120" s="20"/>
      <c r="M120" s="20"/>
      <c r="N120" s="20"/>
      <c r="O120" s="20"/>
      <c r="P120" s="20"/>
      <c r="Q120" s="20"/>
      <c r="R120" s="20"/>
      <c r="S120" s="20"/>
      <c r="T120" s="20"/>
      <c r="U120" s="20"/>
      <c r="V120" s="20"/>
      <c r="W120" s="20"/>
      <c r="X120" s="20"/>
      <c r="Y120" s="20"/>
      <c r="Z120" s="20"/>
    </row>
    <row r="121" ht="56.25" customHeight="1">
      <c r="A121" s="24"/>
      <c r="B121" s="24"/>
      <c r="C121" s="24"/>
      <c r="D121" s="24"/>
      <c r="E121" s="25"/>
      <c r="F121" s="20"/>
      <c r="G121" s="20"/>
      <c r="H121" s="20"/>
      <c r="I121" s="20"/>
      <c r="J121" s="20"/>
      <c r="K121" s="20"/>
      <c r="L121" s="20"/>
      <c r="M121" s="20"/>
      <c r="N121" s="20"/>
      <c r="O121" s="20"/>
      <c r="P121" s="20"/>
      <c r="Q121" s="20"/>
      <c r="R121" s="20"/>
      <c r="S121" s="20"/>
      <c r="T121" s="20"/>
      <c r="U121" s="20"/>
      <c r="V121" s="20"/>
      <c r="W121" s="20"/>
      <c r="X121" s="20"/>
      <c r="Y121" s="20"/>
      <c r="Z121" s="20"/>
    </row>
    <row r="122" ht="56.25" customHeight="1">
      <c r="A122" s="24"/>
      <c r="B122" s="24"/>
      <c r="C122" s="24"/>
      <c r="D122" s="24"/>
      <c r="E122" s="25"/>
      <c r="F122" s="20"/>
      <c r="G122" s="20"/>
      <c r="H122" s="20"/>
      <c r="I122" s="20"/>
      <c r="J122" s="20"/>
      <c r="K122" s="20"/>
      <c r="L122" s="20"/>
      <c r="M122" s="20"/>
      <c r="N122" s="20"/>
      <c r="O122" s="20"/>
      <c r="P122" s="20"/>
      <c r="Q122" s="20"/>
      <c r="R122" s="20"/>
      <c r="S122" s="20"/>
      <c r="T122" s="20"/>
      <c r="U122" s="20"/>
      <c r="V122" s="20"/>
      <c r="W122" s="20"/>
      <c r="X122" s="20"/>
      <c r="Y122" s="20"/>
      <c r="Z122" s="20"/>
    </row>
    <row r="123" ht="56.25" customHeight="1">
      <c r="A123" s="24"/>
      <c r="B123" s="24"/>
      <c r="C123" s="24"/>
      <c r="D123" s="24"/>
      <c r="E123" s="25"/>
      <c r="F123" s="20"/>
      <c r="G123" s="20"/>
      <c r="H123" s="20"/>
      <c r="I123" s="20"/>
      <c r="J123" s="20"/>
      <c r="K123" s="20"/>
      <c r="L123" s="20"/>
      <c r="M123" s="20"/>
      <c r="N123" s="20"/>
      <c r="O123" s="20"/>
      <c r="P123" s="20"/>
      <c r="Q123" s="20"/>
      <c r="R123" s="20"/>
      <c r="S123" s="20"/>
      <c r="T123" s="20"/>
      <c r="U123" s="20"/>
      <c r="V123" s="20"/>
      <c r="W123" s="20"/>
      <c r="X123" s="20"/>
      <c r="Y123" s="20"/>
      <c r="Z123" s="20"/>
    </row>
    <row r="124" ht="56.25" customHeight="1">
      <c r="A124" s="24"/>
      <c r="B124" s="24"/>
      <c r="C124" s="24"/>
      <c r="D124" s="24"/>
      <c r="E124" s="25"/>
      <c r="F124" s="20"/>
      <c r="G124" s="20"/>
      <c r="H124" s="20"/>
      <c r="I124" s="20"/>
      <c r="J124" s="20"/>
      <c r="K124" s="20"/>
      <c r="L124" s="20"/>
      <c r="M124" s="20"/>
      <c r="N124" s="20"/>
      <c r="O124" s="20"/>
      <c r="P124" s="20"/>
      <c r="Q124" s="20"/>
      <c r="R124" s="20"/>
      <c r="S124" s="20"/>
      <c r="T124" s="20"/>
      <c r="U124" s="20"/>
      <c r="V124" s="20"/>
      <c r="W124" s="20"/>
      <c r="X124" s="20"/>
      <c r="Y124" s="20"/>
      <c r="Z124" s="20"/>
    </row>
    <row r="125" ht="56.25" customHeight="1">
      <c r="A125" s="24"/>
      <c r="B125" s="24"/>
      <c r="C125" s="24"/>
      <c r="D125" s="24"/>
      <c r="E125" s="25"/>
      <c r="F125" s="20"/>
      <c r="G125" s="20"/>
      <c r="H125" s="20"/>
      <c r="I125" s="20"/>
      <c r="J125" s="20"/>
      <c r="K125" s="20"/>
      <c r="L125" s="20"/>
      <c r="M125" s="20"/>
      <c r="N125" s="20"/>
      <c r="O125" s="20"/>
      <c r="P125" s="20"/>
      <c r="Q125" s="20"/>
      <c r="R125" s="20"/>
      <c r="S125" s="20"/>
      <c r="T125" s="20"/>
      <c r="U125" s="20"/>
      <c r="V125" s="20"/>
      <c r="W125" s="20"/>
      <c r="X125" s="20"/>
      <c r="Y125" s="20"/>
      <c r="Z125" s="20"/>
    </row>
    <row r="126" ht="56.25" customHeight="1">
      <c r="A126" s="24"/>
      <c r="B126" s="24"/>
      <c r="C126" s="24"/>
      <c r="D126" s="24"/>
      <c r="E126" s="25"/>
      <c r="F126" s="20"/>
      <c r="G126" s="20"/>
      <c r="H126" s="20"/>
      <c r="I126" s="20"/>
      <c r="J126" s="20"/>
      <c r="K126" s="20"/>
      <c r="L126" s="20"/>
      <c r="M126" s="20"/>
      <c r="N126" s="20"/>
      <c r="O126" s="20"/>
      <c r="P126" s="20"/>
      <c r="Q126" s="20"/>
      <c r="R126" s="20"/>
      <c r="S126" s="20"/>
      <c r="T126" s="20"/>
      <c r="U126" s="20"/>
      <c r="V126" s="20"/>
      <c r="W126" s="20"/>
      <c r="X126" s="20"/>
      <c r="Y126" s="20"/>
      <c r="Z126" s="20"/>
    </row>
    <row r="127" ht="56.25" customHeight="1">
      <c r="A127" s="24"/>
      <c r="B127" s="24"/>
      <c r="C127" s="24"/>
      <c r="D127" s="24"/>
      <c r="E127" s="25"/>
      <c r="F127" s="20"/>
      <c r="G127" s="20"/>
      <c r="H127" s="20"/>
      <c r="I127" s="20"/>
      <c r="J127" s="20"/>
      <c r="K127" s="20"/>
      <c r="L127" s="20"/>
      <c r="M127" s="20"/>
      <c r="N127" s="20"/>
      <c r="O127" s="20"/>
      <c r="P127" s="20"/>
      <c r="Q127" s="20"/>
      <c r="R127" s="20"/>
      <c r="S127" s="20"/>
      <c r="T127" s="20"/>
      <c r="U127" s="20"/>
      <c r="V127" s="20"/>
      <c r="W127" s="20"/>
      <c r="X127" s="20"/>
      <c r="Y127" s="20"/>
      <c r="Z127" s="20"/>
    </row>
    <row r="128" ht="56.25" customHeight="1">
      <c r="A128" s="24"/>
      <c r="B128" s="24"/>
      <c r="C128" s="24"/>
      <c r="D128" s="24"/>
      <c r="E128" s="25"/>
      <c r="F128" s="20"/>
      <c r="G128" s="20"/>
      <c r="H128" s="20"/>
      <c r="I128" s="20"/>
      <c r="J128" s="20"/>
      <c r="K128" s="20"/>
      <c r="L128" s="20"/>
      <c r="M128" s="20"/>
      <c r="N128" s="20"/>
      <c r="O128" s="20"/>
      <c r="P128" s="20"/>
      <c r="Q128" s="20"/>
      <c r="R128" s="20"/>
      <c r="S128" s="20"/>
      <c r="T128" s="20"/>
      <c r="U128" s="20"/>
      <c r="V128" s="20"/>
      <c r="W128" s="20"/>
      <c r="X128" s="20"/>
      <c r="Y128" s="20"/>
      <c r="Z128" s="20"/>
    </row>
    <row r="129" ht="56.25" customHeight="1">
      <c r="A129" s="24"/>
      <c r="B129" s="24"/>
      <c r="C129" s="24"/>
      <c r="D129" s="24"/>
      <c r="E129" s="25"/>
      <c r="F129" s="20"/>
      <c r="G129" s="20"/>
      <c r="H129" s="20"/>
      <c r="I129" s="20"/>
      <c r="J129" s="20"/>
      <c r="K129" s="20"/>
      <c r="L129" s="20"/>
      <c r="M129" s="20"/>
      <c r="N129" s="20"/>
      <c r="O129" s="20"/>
      <c r="P129" s="20"/>
      <c r="Q129" s="20"/>
      <c r="R129" s="20"/>
      <c r="S129" s="20"/>
      <c r="T129" s="20"/>
      <c r="U129" s="20"/>
      <c r="V129" s="20"/>
      <c r="W129" s="20"/>
      <c r="X129" s="20"/>
      <c r="Y129" s="20"/>
      <c r="Z129" s="20"/>
    </row>
    <row r="130" ht="56.25" customHeight="1">
      <c r="A130" s="24"/>
      <c r="B130" s="24"/>
      <c r="C130" s="24"/>
      <c r="D130" s="24"/>
      <c r="E130" s="25"/>
      <c r="F130" s="20"/>
      <c r="G130" s="20"/>
      <c r="H130" s="20"/>
      <c r="I130" s="20"/>
      <c r="J130" s="20"/>
      <c r="K130" s="20"/>
      <c r="L130" s="20"/>
      <c r="M130" s="20"/>
      <c r="N130" s="20"/>
      <c r="O130" s="20"/>
      <c r="P130" s="20"/>
      <c r="Q130" s="20"/>
      <c r="R130" s="20"/>
      <c r="S130" s="20"/>
      <c r="T130" s="20"/>
      <c r="U130" s="20"/>
      <c r="V130" s="20"/>
      <c r="W130" s="20"/>
      <c r="X130" s="20"/>
      <c r="Y130" s="20"/>
      <c r="Z130" s="20"/>
    </row>
    <row r="131" ht="56.25" customHeight="1">
      <c r="A131" s="24"/>
      <c r="B131" s="24"/>
      <c r="C131" s="24"/>
      <c r="D131" s="24"/>
      <c r="E131" s="25"/>
      <c r="F131" s="20"/>
      <c r="G131" s="20"/>
      <c r="H131" s="20"/>
      <c r="I131" s="20"/>
      <c r="J131" s="20"/>
      <c r="K131" s="20"/>
      <c r="L131" s="20"/>
      <c r="M131" s="20"/>
      <c r="N131" s="20"/>
      <c r="O131" s="20"/>
      <c r="P131" s="20"/>
      <c r="Q131" s="20"/>
      <c r="R131" s="20"/>
      <c r="S131" s="20"/>
      <c r="T131" s="20"/>
      <c r="U131" s="20"/>
      <c r="V131" s="20"/>
      <c r="W131" s="20"/>
      <c r="X131" s="20"/>
      <c r="Y131" s="20"/>
      <c r="Z131" s="20"/>
    </row>
    <row r="132" ht="56.25" customHeight="1">
      <c r="A132" s="24"/>
      <c r="B132" s="24"/>
      <c r="C132" s="24"/>
      <c r="D132" s="24"/>
      <c r="E132" s="25"/>
      <c r="F132" s="20"/>
      <c r="G132" s="20"/>
      <c r="H132" s="20"/>
      <c r="I132" s="20"/>
      <c r="J132" s="20"/>
      <c r="K132" s="20"/>
      <c r="L132" s="20"/>
      <c r="M132" s="20"/>
      <c r="N132" s="20"/>
      <c r="O132" s="20"/>
      <c r="P132" s="20"/>
      <c r="Q132" s="20"/>
      <c r="R132" s="20"/>
      <c r="S132" s="20"/>
      <c r="T132" s="20"/>
      <c r="U132" s="20"/>
      <c r="V132" s="20"/>
      <c r="W132" s="20"/>
      <c r="X132" s="20"/>
      <c r="Y132" s="20"/>
      <c r="Z132" s="20"/>
    </row>
    <row r="133" ht="56.25" customHeight="1">
      <c r="A133" s="24"/>
      <c r="B133" s="24"/>
      <c r="C133" s="24"/>
      <c r="D133" s="24"/>
      <c r="E133" s="25"/>
      <c r="F133" s="20"/>
      <c r="G133" s="20"/>
      <c r="H133" s="20"/>
      <c r="I133" s="20"/>
      <c r="J133" s="20"/>
      <c r="K133" s="20"/>
      <c r="L133" s="20"/>
      <c r="M133" s="20"/>
      <c r="N133" s="20"/>
      <c r="O133" s="20"/>
      <c r="P133" s="20"/>
      <c r="Q133" s="20"/>
      <c r="R133" s="20"/>
      <c r="S133" s="20"/>
      <c r="T133" s="20"/>
      <c r="U133" s="20"/>
      <c r="V133" s="20"/>
      <c r="W133" s="20"/>
      <c r="X133" s="20"/>
      <c r="Y133" s="20"/>
      <c r="Z133" s="20"/>
    </row>
    <row r="134" ht="56.25" customHeight="1">
      <c r="A134" s="24"/>
      <c r="B134" s="24"/>
      <c r="C134" s="24"/>
      <c r="D134" s="24"/>
      <c r="E134" s="25"/>
      <c r="F134" s="20"/>
      <c r="G134" s="20"/>
      <c r="H134" s="20"/>
      <c r="I134" s="20"/>
      <c r="J134" s="20"/>
      <c r="K134" s="20"/>
      <c r="L134" s="20"/>
      <c r="M134" s="20"/>
      <c r="N134" s="20"/>
      <c r="O134" s="20"/>
      <c r="P134" s="20"/>
      <c r="Q134" s="20"/>
      <c r="R134" s="20"/>
      <c r="S134" s="20"/>
      <c r="T134" s="20"/>
      <c r="U134" s="20"/>
      <c r="V134" s="20"/>
      <c r="W134" s="20"/>
      <c r="X134" s="20"/>
      <c r="Y134" s="20"/>
      <c r="Z134" s="20"/>
    </row>
    <row r="135" ht="56.25" customHeight="1">
      <c r="A135" s="24"/>
      <c r="B135" s="24"/>
      <c r="C135" s="24"/>
      <c r="D135" s="24"/>
      <c r="E135" s="25"/>
      <c r="F135" s="20"/>
      <c r="G135" s="20"/>
      <c r="H135" s="20"/>
      <c r="I135" s="20"/>
      <c r="J135" s="20"/>
      <c r="K135" s="20"/>
      <c r="L135" s="20"/>
      <c r="M135" s="20"/>
      <c r="N135" s="20"/>
      <c r="O135" s="20"/>
      <c r="P135" s="20"/>
      <c r="Q135" s="20"/>
      <c r="R135" s="20"/>
      <c r="S135" s="20"/>
      <c r="T135" s="20"/>
      <c r="U135" s="20"/>
      <c r="V135" s="20"/>
      <c r="W135" s="20"/>
      <c r="X135" s="20"/>
      <c r="Y135" s="20"/>
      <c r="Z135" s="20"/>
    </row>
    <row r="136" ht="56.25" customHeight="1">
      <c r="A136" s="24"/>
      <c r="B136" s="24"/>
      <c r="C136" s="24"/>
      <c r="D136" s="24"/>
      <c r="E136" s="25"/>
      <c r="F136" s="20"/>
      <c r="G136" s="20"/>
      <c r="H136" s="20"/>
      <c r="I136" s="20"/>
      <c r="J136" s="20"/>
      <c r="K136" s="20"/>
      <c r="L136" s="20"/>
      <c r="M136" s="20"/>
      <c r="N136" s="20"/>
      <c r="O136" s="20"/>
      <c r="P136" s="20"/>
      <c r="Q136" s="20"/>
      <c r="R136" s="20"/>
      <c r="S136" s="20"/>
      <c r="T136" s="20"/>
      <c r="U136" s="20"/>
      <c r="V136" s="20"/>
      <c r="W136" s="20"/>
      <c r="X136" s="20"/>
      <c r="Y136" s="20"/>
      <c r="Z136" s="20"/>
    </row>
    <row r="137" ht="56.25" customHeight="1">
      <c r="A137" s="24"/>
      <c r="B137" s="24"/>
      <c r="C137" s="24"/>
      <c r="D137" s="24"/>
      <c r="E137" s="25"/>
      <c r="F137" s="20"/>
      <c r="G137" s="20"/>
      <c r="H137" s="20"/>
      <c r="I137" s="20"/>
      <c r="J137" s="20"/>
      <c r="K137" s="20"/>
      <c r="L137" s="20"/>
      <c r="M137" s="20"/>
      <c r="N137" s="20"/>
      <c r="O137" s="20"/>
      <c r="P137" s="20"/>
      <c r="Q137" s="20"/>
      <c r="R137" s="20"/>
      <c r="S137" s="20"/>
      <c r="T137" s="20"/>
      <c r="U137" s="20"/>
      <c r="V137" s="20"/>
      <c r="W137" s="20"/>
      <c r="X137" s="20"/>
      <c r="Y137" s="20"/>
      <c r="Z137" s="20"/>
    </row>
    <row r="138" ht="56.25" customHeight="1">
      <c r="A138" s="24"/>
      <c r="B138" s="24"/>
      <c r="C138" s="24"/>
      <c r="D138" s="24"/>
      <c r="E138" s="25"/>
      <c r="F138" s="20"/>
      <c r="G138" s="20"/>
      <c r="H138" s="20"/>
      <c r="I138" s="20"/>
      <c r="J138" s="20"/>
      <c r="K138" s="20"/>
      <c r="L138" s="20"/>
      <c r="M138" s="20"/>
      <c r="N138" s="20"/>
      <c r="O138" s="20"/>
      <c r="P138" s="20"/>
      <c r="Q138" s="20"/>
      <c r="R138" s="20"/>
      <c r="S138" s="20"/>
      <c r="T138" s="20"/>
      <c r="U138" s="20"/>
      <c r="V138" s="20"/>
      <c r="W138" s="20"/>
      <c r="X138" s="20"/>
      <c r="Y138" s="20"/>
      <c r="Z138" s="20"/>
    </row>
    <row r="139" ht="56.25" customHeight="1">
      <c r="A139" s="24"/>
      <c r="B139" s="24"/>
      <c r="C139" s="24"/>
      <c r="D139" s="24"/>
      <c r="E139" s="25"/>
      <c r="F139" s="20"/>
      <c r="G139" s="20"/>
      <c r="H139" s="20"/>
      <c r="I139" s="20"/>
      <c r="J139" s="20"/>
      <c r="K139" s="20"/>
      <c r="L139" s="20"/>
      <c r="M139" s="20"/>
      <c r="N139" s="20"/>
      <c r="O139" s="20"/>
      <c r="P139" s="20"/>
      <c r="Q139" s="20"/>
      <c r="R139" s="20"/>
      <c r="S139" s="20"/>
      <c r="T139" s="20"/>
      <c r="U139" s="20"/>
      <c r="V139" s="20"/>
      <c r="W139" s="20"/>
      <c r="X139" s="20"/>
      <c r="Y139" s="20"/>
      <c r="Z139" s="20"/>
    </row>
    <row r="140" ht="56.25" customHeight="1">
      <c r="A140" s="24"/>
      <c r="B140" s="24"/>
      <c r="C140" s="24"/>
      <c r="D140" s="24"/>
      <c r="E140" s="25"/>
      <c r="F140" s="20"/>
      <c r="G140" s="20"/>
      <c r="H140" s="20"/>
      <c r="I140" s="20"/>
      <c r="J140" s="20"/>
      <c r="K140" s="20"/>
      <c r="L140" s="20"/>
      <c r="M140" s="20"/>
      <c r="N140" s="20"/>
      <c r="O140" s="20"/>
      <c r="P140" s="20"/>
      <c r="Q140" s="20"/>
      <c r="R140" s="20"/>
      <c r="S140" s="20"/>
      <c r="T140" s="20"/>
      <c r="U140" s="20"/>
      <c r="V140" s="20"/>
      <c r="W140" s="20"/>
      <c r="X140" s="20"/>
      <c r="Y140" s="20"/>
      <c r="Z140" s="20"/>
    </row>
    <row r="141" ht="56.25" customHeight="1">
      <c r="A141" s="24"/>
      <c r="B141" s="24"/>
      <c r="C141" s="24"/>
      <c r="D141" s="24"/>
      <c r="E141" s="25"/>
      <c r="F141" s="20"/>
      <c r="G141" s="20"/>
      <c r="H141" s="20"/>
      <c r="I141" s="20"/>
      <c r="J141" s="20"/>
      <c r="K141" s="20"/>
      <c r="L141" s="20"/>
      <c r="M141" s="20"/>
      <c r="N141" s="20"/>
      <c r="O141" s="20"/>
      <c r="P141" s="20"/>
      <c r="Q141" s="20"/>
      <c r="R141" s="20"/>
      <c r="S141" s="20"/>
      <c r="T141" s="20"/>
      <c r="U141" s="20"/>
      <c r="V141" s="20"/>
      <c r="W141" s="20"/>
      <c r="X141" s="20"/>
      <c r="Y141" s="20"/>
      <c r="Z141" s="20"/>
    </row>
    <row r="142" ht="56.25" customHeight="1">
      <c r="A142" s="24"/>
      <c r="B142" s="24"/>
      <c r="C142" s="24"/>
      <c r="D142" s="24"/>
      <c r="E142" s="25"/>
      <c r="F142" s="20"/>
      <c r="G142" s="20"/>
      <c r="H142" s="20"/>
      <c r="I142" s="20"/>
      <c r="J142" s="20"/>
      <c r="K142" s="20"/>
      <c r="L142" s="20"/>
      <c r="M142" s="20"/>
      <c r="N142" s="20"/>
      <c r="O142" s="20"/>
      <c r="P142" s="20"/>
      <c r="Q142" s="20"/>
      <c r="R142" s="20"/>
      <c r="S142" s="20"/>
      <c r="T142" s="20"/>
      <c r="U142" s="20"/>
      <c r="V142" s="20"/>
      <c r="W142" s="20"/>
      <c r="X142" s="20"/>
      <c r="Y142" s="20"/>
      <c r="Z142" s="20"/>
    </row>
    <row r="143" ht="56.25" customHeight="1">
      <c r="A143" s="24"/>
      <c r="B143" s="24"/>
      <c r="C143" s="24"/>
      <c r="D143" s="24"/>
      <c r="E143" s="25"/>
      <c r="F143" s="20"/>
      <c r="G143" s="20"/>
      <c r="H143" s="20"/>
      <c r="I143" s="20"/>
      <c r="J143" s="20"/>
      <c r="K143" s="20"/>
      <c r="L143" s="20"/>
      <c r="M143" s="20"/>
      <c r="N143" s="20"/>
      <c r="O143" s="20"/>
      <c r="P143" s="20"/>
      <c r="Q143" s="20"/>
      <c r="R143" s="20"/>
      <c r="S143" s="20"/>
      <c r="T143" s="20"/>
      <c r="U143" s="20"/>
      <c r="V143" s="20"/>
      <c r="W143" s="20"/>
      <c r="X143" s="20"/>
      <c r="Y143" s="20"/>
      <c r="Z143" s="20"/>
    </row>
    <row r="144" ht="56.25" customHeight="1">
      <c r="A144" s="24"/>
      <c r="B144" s="24"/>
      <c r="C144" s="24"/>
      <c r="D144" s="24"/>
      <c r="E144" s="25"/>
      <c r="F144" s="20"/>
      <c r="G144" s="20"/>
      <c r="H144" s="20"/>
      <c r="I144" s="20"/>
      <c r="J144" s="20"/>
      <c r="K144" s="20"/>
      <c r="L144" s="20"/>
      <c r="M144" s="20"/>
      <c r="N144" s="20"/>
      <c r="O144" s="20"/>
      <c r="P144" s="20"/>
      <c r="Q144" s="20"/>
      <c r="R144" s="20"/>
      <c r="S144" s="20"/>
      <c r="T144" s="20"/>
      <c r="U144" s="20"/>
      <c r="V144" s="20"/>
      <c r="W144" s="20"/>
      <c r="X144" s="20"/>
      <c r="Y144" s="20"/>
      <c r="Z144" s="20"/>
    </row>
    <row r="145" ht="56.25" customHeight="1">
      <c r="A145" s="24"/>
      <c r="B145" s="24"/>
      <c r="C145" s="24"/>
      <c r="D145" s="24"/>
      <c r="E145" s="25"/>
      <c r="F145" s="20"/>
      <c r="G145" s="20"/>
      <c r="H145" s="20"/>
      <c r="I145" s="20"/>
      <c r="J145" s="20"/>
      <c r="K145" s="20"/>
      <c r="L145" s="20"/>
      <c r="M145" s="20"/>
      <c r="N145" s="20"/>
      <c r="O145" s="20"/>
      <c r="P145" s="20"/>
      <c r="Q145" s="20"/>
      <c r="R145" s="20"/>
      <c r="S145" s="20"/>
      <c r="T145" s="20"/>
      <c r="U145" s="20"/>
      <c r="V145" s="20"/>
      <c r="W145" s="20"/>
      <c r="X145" s="20"/>
      <c r="Y145" s="20"/>
      <c r="Z145" s="20"/>
    </row>
    <row r="146" ht="56.25" customHeight="1">
      <c r="A146" s="24"/>
      <c r="B146" s="24"/>
      <c r="C146" s="24"/>
      <c r="D146" s="24"/>
      <c r="E146" s="25"/>
      <c r="F146" s="20"/>
      <c r="G146" s="20"/>
      <c r="H146" s="20"/>
      <c r="I146" s="20"/>
      <c r="J146" s="20"/>
      <c r="K146" s="20"/>
      <c r="L146" s="20"/>
      <c r="M146" s="20"/>
      <c r="N146" s="20"/>
      <c r="O146" s="20"/>
      <c r="P146" s="20"/>
      <c r="Q146" s="20"/>
      <c r="R146" s="20"/>
      <c r="S146" s="20"/>
      <c r="T146" s="20"/>
      <c r="U146" s="20"/>
      <c r="V146" s="20"/>
      <c r="W146" s="20"/>
      <c r="X146" s="20"/>
      <c r="Y146" s="20"/>
      <c r="Z146" s="20"/>
    </row>
    <row r="147" ht="56.25" customHeight="1">
      <c r="A147" s="24"/>
      <c r="B147" s="24"/>
      <c r="C147" s="24"/>
      <c r="D147" s="24"/>
      <c r="E147" s="25"/>
      <c r="F147" s="20"/>
      <c r="G147" s="20"/>
      <c r="H147" s="20"/>
      <c r="I147" s="20"/>
      <c r="J147" s="20"/>
      <c r="K147" s="20"/>
      <c r="L147" s="20"/>
      <c r="M147" s="20"/>
      <c r="N147" s="20"/>
      <c r="O147" s="20"/>
      <c r="P147" s="20"/>
      <c r="Q147" s="20"/>
      <c r="R147" s="20"/>
      <c r="S147" s="20"/>
      <c r="T147" s="20"/>
      <c r="U147" s="20"/>
      <c r="V147" s="20"/>
      <c r="W147" s="20"/>
      <c r="X147" s="20"/>
      <c r="Y147" s="20"/>
      <c r="Z147" s="20"/>
    </row>
    <row r="148" ht="56.25" customHeight="1">
      <c r="A148" s="24"/>
      <c r="B148" s="24"/>
      <c r="C148" s="24"/>
      <c r="D148" s="24"/>
      <c r="E148" s="25"/>
      <c r="F148" s="20"/>
      <c r="G148" s="20"/>
      <c r="H148" s="20"/>
      <c r="I148" s="20"/>
      <c r="J148" s="20"/>
      <c r="K148" s="20"/>
      <c r="L148" s="20"/>
      <c r="M148" s="20"/>
      <c r="N148" s="20"/>
      <c r="O148" s="20"/>
      <c r="P148" s="20"/>
      <c r="Q148" s="20"/>
      <c r="R148" s="20"/>
      <c r="S148" s="20"/>
      <c r="T148" s="20"/>
      <c r="U148" s="20"/>
      <c r="V148" s="20"/>
      <c r="W148" s="20"/>
      <c r="X148" s="20"/>
      <c r="Y148" s="20"/>
      <c r="Z148" s="20"/>
    </row>
    <row r="149" ht="56.25" customHeight="1">
      <c r="A149" s="24"/>
      <c r="B149" s="24"/>
      <c r="C149" s="24"/>
      <c r="D149" s="24"/>
      <c r="E149" s="25"/>
      <c r="F149" s="20"/>
      <c r="G149" s="20"/>
      <c r="H149" s="20"/>
      <c r="I149" s="20"/>
      <c r="J149" s="20"/>
      <c r="K149" s="20"/>
      <c r="L149" s="20"/>
      <c r="M149" s="20"/>
      <c r="N149" s="20"/>
      <c r="O149" s="20"/>
      <c r="P149" s="20"/>
      <c r="Q149" s="20"/>
      <c r="R149" s="20"/>
      <c r="S149" s="20"/>
      <c r="T149" s="20"/>
      <c r="U149" s="20"/>
      <c r="V149" s="20"/>
      <c r="W149" s="20"/>
      <c r="X149" s="20"/>
      <c r="Y149" s="20"/>
      <c r="Z149" s="20"/>
    </row>
    <row r="150" ht="56.25" customHeight="1">
      <c r="A150" s="24"/>
      <c r="B150" s="24"/>
      <c r="C150" s="24"/>
      <c r="D150" s="24"/>
      <c r="E150" s="25"/>
      <c r="F150" s="20"/>
      <c r="G150" s="20"/>
      <c r="H150" s="20"/>
      <c r="I150" s="20"/>
      <c r="J150" s="20"/>
      <c r="K150" s="20"/>
      <c r="L150" s="20"/>
      <c r="M150" s="20"/>
      <c r="N150" s="20"/>
      <c r="O150" s="20"/>
      <c r="P150" s="20"/>
      <c r="Q150" s="20"/>
      <c r="R150" s="20"/>
      <c r="S150" s="20"/>
      <c r="T150" s="20"/>
      <c r="U150" s="20"/>
      <c r="V150" s="20"/>
      <c r="W150" s="20"/>
      <c r="X150" s="20"/>
      <c r="Y150" s="20"/>
      <c r="Z150" s="20"/>
    </row>
    <row r="151" ht="56.25" customHeight="1">
      <c r="A151" s="24"/>
      <c r="B151" s="24"/>
      <c r="C151" s="24"/>
      <c r="D151" s="24"/>
      <c r="E151" s="25"/>
      <c r="F151" s="20"/>
      <c r="G151" s="20"/>
      <c r="H151" s="20"/>
      <c r="I151" s="20"/>
      <c r="J151" s="20"/>
      <c r="K151" s="20"/>
      <c r="L151" s="20"/>
      <c r="M151" s="20"/>
      <c r="N151" s="20"/>
      <c r="O151" s="20"/>
      <c r="P151" s="20"/>
      <c r="Q151" s="20"/>
      <c r="R151" s="20"/>
      <c r="S151" s="20"/>
      <c r="T151" s="20"/>
      <c r="U151" s="20"/>
      <c r="V151" s="20"/>
      <c r="W151" s="20"/>
      <c r="X151" s="20"/>
      <c r="Y151" s="20"/>
      <c r="Z151" s="20"/>
    </row>
    <row r="152" ht="56.25" customHeight="1">
      <c r="A152" s="24"/>
      <c r="B152" s="24"/>
      <c r="C152" s="24"/>
      <c r="D152" s="24"/>
      <c r="E152" s="25"/>
      <c r="F152" s="20"/>
      <c r="G152" s="20"/>
      <c r="H152" s="20"/>
      <c r="I152" s="20"/>
      <c r="J152" s="20"/>
      <c r="K152" s="20"/>
      <c r="L152" s="20"/>
      <c r="M152" s="20"/>
      <c r="N152" s="20"/>
      <c r="O152" s="20"/>
      <c r="P152" s="20"/>
      <c r="Q152" s="20"/>
      <c r="R152" s="20"/>
      <c r="S152" s="20"/>
      <c r="T152" s="20"/>
      <c r="U152" s="20"/>
      <c r="V152" s="20"/>
      <c r="W152" s="20"/>
      <c r="X152" s="20"/>
      <c r="Y152" s="20"/>
      <c r="Z152" s="20"/>
    </row>
    <row r="153" ht="56.25" customHeight="1">
      <c r="A153" s="24"/>
      <c r="B153" s="24"/>
      <c r="C153" s="24"/>
      <c r="D153" s="24"/>
      <c r="E153" s="25"/>
      <c r="F153" s="20"/>
      <c r="G153" s="20"/>
      <c r="H153" s="20"/>
      <c r="I153" s="20"/>
      <c r="J153" s="20"/>
      <c r="K153" s="20"/>
      <c r="L153" s="20"/>
      <c r="M153" s="20"/>
      <c r="N153" s="20"/>
      <c r="O153" s="20"/>
      <c r="P153" s="20"/>
      <c r="Q153" s="20"/>
      <c r="R153" s="20"/>
      <c r="S153" s="20"/>
      <c r="T153" s="20"/>
      <c r="U153" s="20"/>
      <c r="V153" s="20"/>
      <c r="W153" s="20"/>
      <c r="X153" s="20"/>
      <c r="Y153" s="20"/>
      <c r="Z153" s="20"/>
    </row>
    <row r="154" ht="56.25" customHeight="1">
      <c r="A154" s="24"/>
      <c r="B154" s="24"/>
      <c r="C154" s="24"/>
      <c r="D154" s="24"/>
      <c r="E154" s="25"/>
      <c r="F154" s="20"/>
      <c r="G154" s="20"/>
      <c r="H154" s="20"/>
      <c r="I154" s="20"/>
      <c r="J154" s="20"/>
      <c r="K154" s="20"/>
      <c r="L154" s="20"/>
      <c r="M154" s="20"/>
      <c r="N154" s="20"/>
      <c r="O154" s="20"/>
      <c r="P154" s="20"/>
      <c r="Q154" s="20"/>
      <c r="R154" s="20"/>
      <c r="S154" s="20"/>
      <c r="T154" s="20"/>
      <c r="U154" s="20"/>
      <c r="V154" s="20"/>
      <c r="W154" s="20"/>
      <c r="X154" s="20"/>
      <c r="Y154" s="20"/>
      <c r="Z154" s="20"/>
    </row>
    <row r="155" ht="56.25" customHeight="1">
      <c r="A155" s="24"/>
      <c r="B155" s="24"/>
      <c r="C155" s="24"/>
      <c r="D155" s="24"/>
      <c r="E155" s="25"/>
      <c r="F155" s="20"/>
      <c r="G155" s="20"/>
      <c r="H155" s="20"/>
      <c r="I155" s="20"/>
      <c r="J155" s="20"/>
      <c r="K155" s="20"/>
      <c r="L155" s="20"/>
      <c r="M155" s="20"/>
      <c r="N155" s="20"/>
      <c r="O155" s="20"/>
      <c r="P155" s="20"/>
      <c r="Q155" s="20"/>
      <c r="R155" s="20"/>
      <c r="S155" s="20"/>
      <c r="T155" s="20"/>
      <c r="U155" s="20"/>
      <c r="V155" s="20"/>
      <c r="W155" s="20"/>
      <c r="X155" s="20"/>
      <c r="Y155" s="20"/>
      <c r="Z155" s="20"/>
    </row>
    <row r="156" ht="56.25" customHeight="1">
      <c r="A156" s="24"/>
      <c r="B156" s="24"/>
      <c r="C156" s="24"/>
      <c r="D156" s="24"/>
      <c r="E156" s="25"/>
      <c r="F156" s="20"/>
      <c r="G156" s="20"/>
      <c r="H156" s="20"/>
      <c r="I156" s="20"/>
      <c r="J156" s="20"/>
      <c r="K156" s="20"/>
      <c r="L156" s="20"/>
      <c r="M156" s="20"/>
      <c r="N156" s="20"/>
      <c r="O156" s="20"/>
      <c r="P156" s="20"/>
      <c r="Q156" s="20"/>
      <c r="R156" s="20"/>
      <c r="S156" s="20"/>
      <c r="T156" s="20"/>
      <c r="U156" s="20"/>
      <c r="V156" s="20"/>
      <c r="W156" s="20"/>
      <c r="X156" s="20"/>
      <c r="Y156" s="20"/>
      <c r="Z156" s="20"/>
    </row>
    <row r="157" ht="56.25" customHeight="1">
      <c r="A157" s="24"/>
      <c r="B157" s="24"/>
      <c r="C157" s="24"/>
      <c r="D157" s="24"/>
      <c r="E157" s="25"/>
      <c r="F157" s="20"/>
      <c r="G157" s="20"/>
      <c r="H157" s="20"/>
      <c r="I157" s="20"/>
      <c r="J157" s="20"/>
      <c r="K157" s="20"/>
      <c r="L157" s="20"/>
      <c r="M157" s="20"/>
      <c r="N157" s="20"/>
      <c r="O157" s="20"/>
      <c r="P157" s="20"/>
      <c r="Q157" s="20"/>
      <c r="R157" s="20"/>
      <c r="S157" s="20"/>
      <c r="T157" s="20"/>
      <c r="U157" s="20"/>
      <c r="V157" s="20"/>
      <c r="W157" s="20"/>
      <c r="X157" s="20"/>
      <c r="Y157" s="20"/>
      <c r="Z157" s="20"/>
    </row>
    <row r="158" ht="56.25" customHeight="1">
      <c r="A158" s="24"/>
      <c r="B158" s="24"/>
      <c r="C158" s="24"/>
      <c r="D158" s="24"/>
      <c r="E158" s="25"/>
      <c r="F158" s="20"/>
      <c r="G158" s="20"/>
      <c r="H158" s="20"/>
      <c r="I158" s="20"/>
      <c r="J158" s="20"/>
      <c r="K158" s="20"/>
      <c r="L158" s="20"/>
      <c r="M158" s="20"/>
      <c r="N158" s="20"/>
      <c r="O158" s="20"/>
      <c r="P158" s="20"/>
      <c r="Q158" s="20"/>
      <c r="R158" s="20"/>
      <c r="S158" s="20"/>
      <c r="T158" s="20"/>
      <c r="U158" s="20"/>
      <c r="V158" s="20"/>
      <c r="W158" s="20"/>
      <c r="X158" s="20"/>
      <c r="Y158" s="20"/>
      <c r="Z158" s="20"/>
    </row>
    <row r="159" ht="56.25" customHeight="1">
      <c r="A159" s="24"/>
      <c r="B159" s="24"/>
      <c r="C159" s="24"/>
      <c r="D159" s="24"/>
      <c r="E159" s="25"/>
      <c r="F159" s="20"/>
      <c r="G159" s="20"/>
      <c r="H159" s="20"/>
      <c r="I159" s="20"/>
      <c r="J159" s="20"/>
      <c r="K159" s="20"/>
      <c r="L159" s="20"/>
      <c r="M159" s="20"/>
      <c r="N159" s="20"/>
      <c r="O159" s="20"/>
      <c r="P159" s="20"/>
      <c r="Q159" s="20"/>
      <c r="R159" s="20"/>
      <c r="S159" s="20"/>
      <c r="T159" s="20"/>
      <c r="U159" s="20"/>
      <c r="V159" s="20"/>
      <c r="W159" s="20"/>
      <c r="X159" s="20"/>
      <c r="Y159" s="20"/>
      <c r="Z159" s="20"/>
    </row>
    <row r="160" ht="56.25" customHeight="1">
      <c r="A160" s="24"/>
      <c r="B160" s="24"/>
      <c r="C160" s="24"/>
      <c r="D160" s="24"/>
      <c r="E160" s="25"/>
      <c r="F160" s="20"/>
      <c r="G160" s="20"/>
      <c r="H160" s="20"/>
      <c r="I160" s="20"/>
      <c r="J160" s="20"/>
      <c r="K160" s="20"/>
      <c r="L160" s="20"/>
      <c r="M160" s="20"/>
      <c r="N160" s="20"/>
      <c r="O160" s="20"/>
      <c r="P160" s="20"/>
      <c r="Q160" s="20"/>
      <c r="R160" s="20"/>
      <c r="S160" s="20"/>
      <c r="T160" s="20"/>
      <c r="U160" s="20"/>
      <c r="V160" s="20"/>
      <c r="W160" s="20"/>
      <c r="X160" s="20"/>
      <c r="Y160" s="20"/>
      <c r="Z160" s="20"/>
    </row>
    <row r="161" ht="56.25" customHeight="1">
      <c r="A161" s="24"/>
      <c r="B161" s="24"/>
      <c r="C161" s="24"/>
      <c r="D161" s="24"/>
      <c r="E161" s="25"/>
      <c r="F161" s="20"/>
      <c r="G161" s="20"/>
      <c r="H161" s="20"/>
      <c r="I161" s="20"/>
      <c r="J161" s="20"/>
      <c r="K161" s="20"/>
      <c r="L161" s="20"/>
      <c r="M161" s="20"/>
      <c r="N161" s="20"/>
      <c r="O161" s="20"/>
      <c r="P161" s="20"/>
      <c r="Q161" s="20"/>
      <c r="R161" s="20"/>
      <c r="S161" s="20"/>
      <c r="T161" s="20"/>
      <c r="U161" s="20"/>
      <c r="V161" s="20"/>
      <c r="W161" s="20"/>
      <c r="X161" s="20"/>
      <c r="Y161" s="20"/>
      <c r="Z161" s="20"/>
    </row>
    <row r="162" ht="56.25" customHeight="1">
      <c r="A162" s="24"/>
      <c r="B162" s="24"/>
      <c r="C162" s="24"/>
      <c r="D162" s="24"/>
      <c r="E162" s="25"/>
      <c r="F162" s="20"/>
      <c r="G162" s="20"/>
      <c r="H162" s="20"/>
      <c r="I162" s="20"/>
      <c r="J162" s="20"/>
      <c r="K162" s="20"/>
      <c r="L162" s="20"/>
      <c r="M162" s="20"/>
      <c r="N162" s="20"/>
      <c r="O162" s="20"/>
      <c r="P162" s="20"/>
      <c r="Q162" s="20"/>
      <c r="R162" s="20"/>
      <c r="S162" s="20"/>
      <c r="T162" s="20"/>
      <c r="U162" s="20"/>
      <c r="V162" s="20"/>
      <c r="W162" s="20"/>
      <c r="X162" s="20"/>
      <c r="Y162" s="20"/>
      <c r="Z162" s="20"/>
    </row>
    <row r="163" ht="56.25" customHeight="1">
      <c r="A163" s="24"/>
      <c r="B163" s="24"/>
      <c r="C163" s="24"/>
      <c r="D163" s="24"/>
      <c r="E163" s="25"/>
      <c r="F163" s="20"/>
      <c r="G163" s="20"/>
      <c r="H163" s="20"/>
      <c r="I163" s="20"/>
      <c r="J163" s="20"/>
      <c r="K163" s="20"/>
      <c r="L163" s="20"/>
      <c r="M163" s="20"/>
      <c r="N163" s="20"/>
      <c r="O163" s="20"/>
      <c r="P163" s="20"/>
      <c r="Q163" s="20"/>
      <c r="R163" s="20"/>
      <c r="S163" s="20"/>
      <c r="T163" s="20"/>
      <c r="U163" s="20"/>
      <c r="V163" s="20"/>
      <c r="W163" s="20"/>
      <c r="X163" s="20"/>
      <c r="Y163" s="20"/>
      <c r="Z163" s="20"/>
    </row>
    <row r="164" ht="56.25" customHeight="1">
      <c r="A164" s="24"/>
      <c r="B164" s="24"/>
      <c r="C164" s="24"/>
      <c r="D164" s="24"/>
      <c r="E164" s="25"/>
      <c r="F164" s="20"/>
      <c r="G164" s="20"/>
      <c r="H164" s="20"/>
      <c r="I164" s="20"/>
      <c r="J164" s="20"/>
      <c r="K164" s="20"/>
      <c r="L164" s="20"/>
      <c r="M164" s="20"/>
      <c r="N164" s="20"/>
      <c r="O164" s="20"/>
      <c r="P164" s="20"/>
      <c r="Q164" s="20"/>
      <c r="R164" s="20"/>
      <c r="S164" s="20"/>
      <c r="T164" s="20"/>
      <c r="U164" s="20"/>
      <c r="V164" s="20"/>
      <c r="W164" s="20"/>
      <c r="X164" s="20"/>
      <c r="Y164" s="20"/>
      <c r="Z164" s="20"/>
    </row>
    <row r="165" ht="56.25" customHeight="1">
      <c r="A165" s="24"/>
      <c r="B165" s="24"/>
      <c r="C165" s="24"/>
      <c r="D165" s="24"/>
      <c r="E165" s="25"/>
      <c r="F165" s="20"/>
      <c r="G165" s="20"/>
      <c r="H165" s="20"/>
      <c r="I165" s="20"/>
      <c r="J165" s="20"/>
      <c r="K165" s="20"/>
      <c r="L165" s="20"/>
      <c r="M165" s="20"/>
      <c r="N165" s="20"/>
      <c r="O165" s="20"/>
      <c r="P165" s="20"/>
      <c r="Q165" s="20"/>
      <c r="R165" s="20"/>
      <c r="S165" s="20"/>
      <c r="T165" s="20"/>
      <c r="U165" s="20"/>
      <c r="V165" s="20"/>
      <c r="W165" s="20"/>
      <c r="X165" s="20"/>
      <c r="Y165" s="20"/>
      <c r="Z165" s="20"/>
    </row>
    <row r="166" ht="56.25" customHeight="1">
      <c r="A166" s="24"/>
      <c r="B166" s="24"/>
      <c r="C166" s="24"/>
      <c r="D166" s="24"/>
      <c r="E166" s="25"/>
      <c r="F166" s="20"/>
      <c r="G166" s="20"/>
      <c r="H166" s="20"/>
      <c r="I166" s="20"/>
      <c r="J166" s="20"/>
      <c r="K166" s="20"/>
      <c r="L166" s="20"/>
      <c r="M166" s="20"/>
      <c r="N166" s="20"/>
      <c r="O166" s="20"/>
      <c r="P166" s="20"/>
      <c r="Q166" s="20"/>
      <c r="R166" s="20"/>
      <c r="S166" s="20"/>
      <c r="T166" s="20"/>
      <c r="U166" s="20"/>
      <c r="V166" s="20"/>
      <c r="W166" s="20"/>
      <c r="X166" s="20"/>
      <c r="Y166" s="20"/>
      <c r="Z166" s="20"/>
    </row>
    <row r="167" ht="56.25" customHeight="1">
      <c r="A167" s="24"/>
      <c r="B167" s="24"/>
      <c r="C167" s="24"/>
      <c r="D167" s="24"/>
      <c r="E167" s="25"/>
      <c r="F167" s="20"/>
      <c r="G167" s="20"/>
      <c r="H167" s="20"/>
      <c r="I167" s="20"/>
      <c r="J167" s="20"/>
      <c r="K167" s="20"/>
      <c r="L167" s="20"/>
      <c r="M167" s="20"/>
      <c r="N167" s="20"/>
      <c r="O167" s="20"/>
      <c r="P167" s="20"/>
      <c r="Q167" s="20"/>
      <c r="R167" s="20"/>
      <c r="S167" s="20"/>
      <c r="T167" s="20"/>
      <c r="U167" s="20"/>
      <c r="V167" s="20"/>
      <c r="W167" s="20"/>
      <c r="X167" s="20"/>
      <c r="Y167" s="20"/>
      <c r="Z167" s="20"/>
    </row>
    <row r="168" ht="56.25" customHeight="1">
      <c r="A168" s="24"/>
      <c r="B168" s="24"/>
      <c r="C168" s="24"/>
      <c r="D168" s="24"/>
      <c r="E168" s="25"/>
      <c r="F168" s="20"/>
      <c r="G168" s="20"/>
      <c r="H168" s="20"/>
      <c r="I168" s="20"/>
      <c r="J168" s="20"/>
      <c r="K168" s="20"/>
      <c r="L168" s="20"/>
      <c r="M168" s="20"/>
      <c r="N168" s="20"/>
      <c r="O168" s="20"/>
      <c r="P168" s="20"/>
      <c r="Q168" s="20"/>
      <c r="R168" s="20"/>
      <c r="S168" s="20"/>
      <c r="T168" s="20"/>
      <c r="U168" s="20"/>
      <c r="V168" s="20"/>
      <c r="W168" s="20"/>
      <c r="X168" s="20"/>
      <c r="Y168" s="20"/>
      <c r="Z168" s="20"/>
    </row>
    <row r="169" ht="56.25" customHeight="1">
      <c r="A169" s="24"/>
      <c r="B169" s="24"/>
      <c r="C169" s="24"/>
      <c r="D169" s="24"/>
      <c r="E169" s="25"/>
      <c r="F169" s="20"/>
      <c r="G169" s="20"/>
      <c r="H169" s="20"/>
      <c r="I169" s="20"/>
      <c r="J169" s="20"/>
      <c r="K169" s="20"/>
      <c r="L169" s="20"/>
      <c r="M169" s="20"/>
      <c r="N169" s="20"/>
      <c r="O169" s="20"/>
      <c r="P169" s="20"/>
      <c r="Q169" s="20"/>
      <c r="R169" s="20"/>
      <c r="S169" s="20"/>
      <c r="T169" s="20"/>
      <c r="U169" s="20"/>
      <c r="V169" s="20"/>
      <c r="W169" s="20"/>
      <c r="X169" s="20"/>
      <c r="Y169" s="20"/>
      <c r="Z169" s="20"/>
    </row>
    <row r="170" ht="56.25" customHeight="1">
      <c r="A170" s="24"/>
      <c r="B170" s="24"/>
      <c r="C170" s="24"/>
      <c r="D170" s="24"/>
      <c r="E170" s="25"/>
      <c r="F170" s="20"/>
      <c r="G170" s="20"/>
      <c r="H170" s="20"/>
      <c r="I170" s="20"/>
      <c r="J170" s="20"/>
      <c r="K170" s="20"/>
      <c r="L170" s="20"/>
      <c r="M170" s="20"/>
      <c r="N170" s="20"/>
      <c r="O170" s="20"/>
      <c r="P170" s="20"/>
      <c r="Q170" s="20"/>
      <c r="R170" s="20"/>
      <c r="S170" s="20"/>
      <c r="T170" s="20"/>
      <c r="U170" s="20"/>
      <c r="V170" s="20"/>
      <c r="W170" s="20"/>
      <c r="X170" s="20"/>
      <c r="Y170" s="20"/>
      <c r="Z170" s="20"/>
    </row>
    <row r="171" ht="56.25" customHeight="1">
      <c r="A171" s="24"/>
      <c r="B171" s="24"/>
      <c r="C171" s="24"/>
      <c r="D171" s="24"/>
      <c r="E171" s="25"/>
      <c r="F171" s="20"/>
      <c r="G171" s="20"/>
      <c r="H171" s="20"/>
      <c r="I171" s="20"/>
      <c r="J171" s="20"/>
      <c r="K171" s="20"/>
      <c r="L171" s="20"/>
      <c r="M171" s="20"/>
      <c r="N171" s="20"/>
      <c r="O171" s="20"/>
      <c r="P171" s="20"/>
      <c r="Q171" s="20"/>
      <c r="R171" s="20"/>
      <c r="S171" s="20"/>
      <c r="T171" s="20"/>
      <c r="U171" s="20"/>
      <c r="V171" s="20"/>
      <c r="W171" s="20"/>
      <c r="X171" s="20"/>
      <c r="Y171" s="20"/>
      <c r="Z171" s="20"/>
    </row>
    <row r="172" ht="56.25" customHeight="1">
      <c r="A172" s="24"/>
      <c r="B172" s="24"/>
      <c r="C172" s="24"/>
      <c r="D172" s="24"/>
      <c r="E172" s="25"/>
      <c r="F172" s="20"/>
      <c r="G172" s="20"/>
      <c r="H172" s="20"/>
      <c r="I172" s="20"/>
      <c r="J172" s="20"/>
      <c r="K172" s="20"/>
      <c r="L172" s="20"/>
      <c r="M172" s="20"/>
      <c r="N172" s="20"/>
      <c r="O172" s="20"/>
      <c r="P172" s="20"/>
      <c r="Q172" s="20"/>
      <c r="R172" s="20"/>
      <c r="S172" s="20"/>
      <c r="T172" s="20"/>
      <c r="U172" s="20"/>
      <c r="V172" s="20"/>
      <c r="W172" s="20"/>
      <c r="X172" s="20"/>
      <c r="Y172" s="20"/>
      <c r="Z172" s="20"/>
    </row>
    <row r="173" ht="56.25" customHeight="1">
      <c r="A173" s="24"/>
      <c r="B173" s="24"/>
      <c r="C173" s="24"/>
      <c r="D173" s="24"/>
      <c r="E173" s="25"/>
      <c r="F173" s="20"/>
      <c r="G173" s="20"/>
      <c r="H173" s="20"/>
      <c r="I173" s="20"/>
      <c r="J173" s="20"/>
      <c r="K173" s="20"/>
      <c r="L173" s="20"/>
      <c r="M173" s="20"/>
      <c r="N173" s="20"/>
      <c r="O173" s="20"/>
      <c r="P173" s="20"/>
      <c r="Q173" s="20"/>
      <c r="R173" s="20"/>
      <c r="S173" s="20"/>
      <c r="T173" s="20"/>
      <c r="U173" s="20"/>
      <c r="V173" s="20"/>
      <c r="W173" s="20"/>
      <c r="X173" s="20"/>
      <c r="Y173" s="20"/>
      <c r="Z173" s="20"/>
    </row>
    <row r="174" ht="56.25" customHeight="1">
      <c r="A174" s="24"/>
      <c r="B174" s="24"/>
      <c r="C174" s="24"/>
      <c r="D174" s="24"/>
      <c r="E174" s="25"/>
      <c r="F174" s="20"/>
      <c r="G174" s="20"/>
      <c r="H174" s="20"/>
      <c r="I174" s="20"/>
      <c r="J174" s="20"/>
      <c r="K174" s="20"/>
      <c r="L174" s="20"/>
      <c r="M174" s="20"/>
      <c r="N174" s="20"/>
      <c r="O174" s="20"/>
      <c r="P174" s="20"/>
      <c r="Q174" s="20"/>
      <c r="R174" s="20"/>
      <c r="S174" s="20"/>
      <c r="T174" s="20"/>
      <c r="U174" s="20"/>
      <c r="V174" s="20"/>
      <c r="W174" s="20"/>
      <c r="X174" s="20"/>
      <c r="Y174" s="20"/>
      <c r="Z174" s="20"/>
    </row>
    <row r="175" ht="56.25" customHeight="1">
      <c r="A175" s="24"/>
      <c r="B175" s="24"/>
      <c r="C175" s="24"/>
      <c r="D175" s="24"/>
      <c r="E175" s="25"/>
      <c r="F175" s="20"/>
      <c r="G175" s="20"/>
      <c r="H175" s="20"/>
      <c r="I175" s="20"/>
      <c r="J175" s="20"/>
      <c r="K175" s="20"/>
      <c r="L175" s="20"/>
      <c r="M175" s="20"/>
      <c r="N175" s="20"/>
      <c r="O175" s="20"/>
      <c r="P175" s="20"/>
      <c r="Q175" s="20"/>
      <c r="R175" s="20"/>
      <c r="S175" s="20"/>
      <c r="T175" s="20"/>
      <c r="U175" s="20"/>
      <c r="V175" s="20"/>
      <c r="W175" s="20"/>
      <c r="X175" s="20"/>
      <c r="Y175" s="20"/>
      <c r="Z175" s="20"/>
    </row>
    <row r="176" ht="56.25" customHeight="1">
      <c r="A176" s="24"/>
      <c r="B176" s="24"/>
      <c r="C176" s="24"/>
      <c r="D176" s="24"/>
      <c r="E176" s="25"/>
      <c r="F176" s="20"/>
      <c r="G176" s="20"/>
      <c r="H176" s="20"/>
      <c r="I176" s="20"/>
      <c r="J176" s="20"/>
      <c r="K176" s="20"/>
      <c r="L176" s="20"/>
      <c r="M176" s="20"/>
      <c r="N176" s="20"/>
      <c r="O176" s="20"/>
      <c r="P176" s="20"/>
      <c r="Q176" s="20"/>
      <c r="R176" s="20"/>
      <c r="S176" s="20"/>
      <c r="T176" s="20"/>
      <c r="U176" s="20"/>
      <c r="V176" s="20"/>
      <c r="W176" s="20"/>
      <c r="X176" s="20"/>
      <c r="Y176" s="20"/>
      <c r="Z176" s="20"/>
    </row>
    <row r="177" ht="56.25" customHeight="1">
      <c r="A177" s="24"/>
      <c r="B177" s="24"/>
      <c r="C177" s="24"/>
      <c r="D177" s="24"/>
      <c r="E177" s="25"/>
      <c r="F177" s="20"/>
      <c r="G177" s="20"/>
      <c r="H177" s="20"/>
      <c r="I177" s="20"/>
      <c r="J177" s="20"/>
      <c r="K177" s="20"/>
      <c r="L177" s="20"/>
      <c r="M177" s="20"/>
      <c r="N177" s="20"/>
      <c r="O177" s="20"/>
      <c r="P177" s="20"/>
      <c r="Q177" s="20"/>
      <c r="R177" s="20"/>
      <c r="S177" s="20"/>
      <c r="T177" s="20"/>
      <c r="U177" s="20"/>
      <c r="V177" s="20"/>
      <c r="W177" s="20"/>
      <c r="X177" s="20"/>
      <c r="Y177" s="20"/>
      <c r="Z177" s="20"/>
    </row>
    <row r="178" ht="56.25" customHeight="1">
      <c r="A178" s="24"/>
      <c r="B178" s="24"/>
      <c r="C178" s="24"/>
      <c r="D178" s="24"/>
      <c r="E178" s="25"/>
      <c r="F178" s="20"/>
      <c r="G178" s="20"/>
      <c r="H178" s="20"/>
      <c r="I178" s="20"/>
      <c r="J178" s="20"/>
      <c r="K178" s="20"/>
      <c r="L178" s="20"/>
      <c r="M178" s="20"/>
      <c r="N178" s="20"/>
      <c r="O178" s="20"/>
      <c r="P178" s="20"/>
      <c r="Q178" s="20"/>
      <c r="R178" s="20"/>
      <c r="S178" s="20"/>
      <c r="T178" s="20"/>
      <c r="U178" s="20"/>
      <c r="V178" s="20"/>
      <c r="W178" s="20"/>
      <c r="X178" s="20"/>
      <c r="Y178" s="20"/>
      <c r="Z178" s="20"/>
    </row>
    <row r="179" ht="56.25" customHeight="1">
      <c r="A179" s="24"/>
      <c r="B179" s="24"/>
      <c r="C179" s="24"/>
      <c r="D179" s="24"/>
      <c r="E179" s="25"/>
      <c r="F179" s="20"/>
      <c r="G179" s="20"/>
      <c r="H179" s="20"/>
      <c r="I179" s="20"/>
      <c r="J179" s="20"/>
      <c r="K179" s="20"/>
      <c r="L179" s="20"/>
      <c r="M179" s="20"/>
      <c r="N179" s="20"/>
      <c r="O179" s="20"/>
      <c r="P179" s="20"/>
      <c r="Q179" s="20"/>
      <c r="R179" s="20"/>
      <c r="S179" s="20"/>
      <c r="T179" s="20"/>
      <c r="U179" s="20"/>
      <c r="V179" s="20"/>
      <c r="W179" s="20"/>
      <c r="X179" s="20"/>
      <c r="Y179" s="20"/>
      <c r="Z179" s="20"/>
    </row>
    <row r="180" ht="56.25" customHeight="1">
      <c r="A180" s="24"/>
      <c r="B180" s="24"/>
      <c r="C180" s="24"/>
      <c r="D180" s="24"/>
      <c r="E180" s="25"/>
      <c r="F180" s="20"/>
      <c r="G180" s="20"/>
      <c r="H180" s="20"/>
      <c r="I180" s="20"/>
      <c r="J180" s="20"/>
      <c r="K180" s="20"/>
      <c r="L180" s="20"/>
      <c r="M180" s="20"/>
      <c r="N180" s="20"/>
      <c r="O180" s="20"/>
      <c r="P180" s="20"/>
      <c r="Q180" s="20"/>
      <c r="R180" s="20"/>
      <c r="S180" s="20"/>
      <c r="T180" s="20"/>
      <c r="U180" s="20"/>
      <c r="V180" s="20"/>
      <c r="W180" s="20"/>
      <c r="X180" s="20"/>
      <c r="Y180" s="20"/>
      <c r="Z180" s="20"/>
    </row>
    <row r="181" ht="56.25" customHeight="1">
      <c r="A181" s="24"/>
      <c r="B181" s="24"/>
      <c r="C181" s="24"/>
      <c r="D181" s="24"/>
      <c r="E181" s="25"/>
      <c r="F181" s="20"/>
      <c r="G181" s="20"/>
      <c r="H181" s="20"/>
      <c r="I181" s="20"/>
      <c r="J181" s="20"/>
      <c r="K181" s="20"/>
      <c r="L181" s="20"/>
      <c r="M181" s="20"/>
      <c r="N181" s="20"/>
      <c r="O181" s="20"/>
      <c r="P181" s="20"/>
      <c r="Q181" s="20"/>
      <c r="R181" s="20"/>
      <c r="S181" s="20"/>
      <c r="T181" s="20"/>
      <c r="U181" s="20"/>
      <c r="V181" s="20"/>
      <c r="W181" s="20"/>
      <c r="X181" s="20"/>
      <c r="Y181" s="20"/>
      <c r="Z181" s="20"/>
    </row>
    <row r="182" ht="56.25" customHeight="1">
      <c r="A182" s="24"/>
      <c r="B182" s="24"/>
      <c r="C182" s="24"/>
      <c r="D182" s="24"/>
      <c r="E182" s="25"/>
      <c r="F182" s="20"/>
      <c r="G182" s="20"/>
      <c r="H182" s="20"/>
      <c r="I182" s="20"/>
      <c r="J182" s="20"/>
      <c r="K182" s="20"/>
      <c r="L182" s="20"/>
      <c r="M182" s="20"/>
      <c r="N182" s="20"/>
      <c r="O182" s="20"/>
      <c r="P182" s="20"/>
      <c r="Q182" s="20"/>
      <c r="R182" s="20"/>
      <c r="S182" s="20"/>
      <c r="T182" s="20"/>
      <c r="U182" s="20"/>
      <c r="V182" s="20"/>
      <c r="W182" s="20"/>
      <c r="X182" s="20"/>
      <c r="Y182" s="20"/>
      <c r="Z182" s="20"/>
    </row>
    <row r="183" ht="56.25" customHeight="1">
      <c r="A183" s="24"/>
      <c r="B183" s="24"/>
      <c r="C183" s="24"/>
      <c r="D183" s="24"/>
      <c r="E183" s="25"/>
      <c r="F183" s="20"/>
      <c r="G183" s="20"/>
      <c r="H183" s="20"/>
      <c r="I183" s="20"/>
      <c r="J183" s="20"/>
      <c r="K183" s="20"/>
      <c r="L183" s="20"/>
      <c r="M183" s="20"/>
      <c r="N183" s="20"/>
      <c r="O183" s="20"/>
      <c r="P183" s="20"/>
      <c r="Q183" s="20"/>
      <c r="R183" s="20"/>
      <c r="S183" s="20"/>
      <c r="T183" s="20"/>
      <c r="U183" s="20"/>
      <c r="V183" s="20"/>
      <c r="W183" s="20"/>
      <c r="X183" s="20"/>
      <c r="Y183" s="20"/>
      <c r="Z183" s="20"/>
    </row>
    <row r="184" ht="56.25" customHeight="1">
      <c r="A184" s="24"/>
      <c r="B184" s="24"/>
      <c r="C184" s="24"/>
      <c r="D184" s="24"/>
      <c r="E184" s="25"/>
      <c r="F184" s="20"/>
      <c r="G184" s="20"/>
      <c r="H184" s="20"/>
      <c r="I184" s="20"/>
      <c r="J184" s="20"/>
      <c r="K184" s="20"/>
      <c r="L184" s="20"/>
      <c r="M184" s="20"/>
      <c r="N184" s="20"/>
      <c r="O184" s="20"/>
      <c r="P184" s="20"/>
      <c r="Q184" s="20"/>
      <c r="R184" s="20"/>
      <c r="S184" s="20"/>
      <c r="T184" s="20"/>
      <c r="U184" s="20"/>
      <c r="V184" s="20"/>
      <c r="W184" s="20"/>
      <c r="X184" s="20"/>
      <c r="Y184" s="20"/>
      <c r="Z184" s="20"/>
    </row>
    <row r="185" ht="56.25" customHeight="1">
      <c r="A185" s="24"/>
      <c r="B185" s="24"/>
      <c r="C185" s="24"/>
      <c r="D185" s="24"/>
      <c r="E185" s="25"/>
      <c r="F185" s="20"/>
      <c r="G185" s="20"/>
      <c r="H185" s="20"/>
      <c r="I185" s="20"/>
      <c r="J185" s="20"/>
      <c r="K185" s="20"/>
      <c r="L185" s="20"/>
      <c r="M185" s="20"/>
      <c r="N185" s="20"/>
      <c r="O185" s="20"/>
      <c r="P185" s="20"/>
      <c r="Q185" s="20"/>
      <c r="R185" s="20"/>
      <c r="S185" s="20"/>
      <c r="T185" s="20"/>
      <c r="U185" s="20"/>
      <c r="V185" s="20"/>
      <c r="W185" s="20"/>
      <c r="X185" s="20"/>
      <c r="Y185" s="20"/>
      <c r="Z185" s="20"/>
    </row>
    <row r="186" ht="56.25" customHeight="1">
      <c r="A186" s="24"/>
      <c r="B186" s="24"/>
      <c r="C186" s="24"/>
      <c r="D186" s="24"/>
      <c r="E186" s="25"/>
      <c r="F186" s="20"/>
      <c r="G186" s="20"/>
      <c r="H186" s="20"/>
      <c r="I186" s="20"/>
      <c r="J186" s="20"/>
      <c r="K186" s="20"/>
      <c r="L186" s="20"/>
      <c r="M186" s="20"/>
      <c r="N186" s="20"/>
      <c r="O186" s="20"/>
      <c r="P186" s="20"/>
      <c r="Q186" s="20"/>
      <c r="R186" s="20"/>
      <c r="S186" s="20"/>
      <c r="T186" s="20"/>
      <c r="U186" s="20"/>
      <c r="V186" s="20"/>
      <c r="W186" s="20"/>
      <c r="X186" s="20"/>
      <c r="Y186" s="20"/>
      <c r="Z186" s="20"/>
    </row>
    <row r="187" ht="56.25" customHeight="1">
      <c r="A187" s="24"/>
      <c r="B187" s="24"/>
      <c r="C187" s="24"/>
      <c r="D187" s="24"/>
      <c r="E187" s="25"/>
      <c r="F187" s="20"/>
      <c r="G187" s="20"/>
      <c r="H187" s="20"/>
      <c r="I187" s="20"/>
      <c r="J187" s="20"/>
      <c r="K187" s="20"/>
      <c r="L187" s="20"/>
      <c r="M187" s="20"/>
      <c r="N187" s="20"/>
      <c r="O187" s="20"/>
      <c r="P187" s="20"/>
      <c r="Q187" s="20"/>
      <c r="R187" s="20"/>
      <c r="S187" s="20"/>
      <c r="T187" s="20"/>
      <c r="U187" s="20"/>
      <c r="V187" s="20"/>
      <c r="W187" s="20"/>
      <c r="X187" s="20"/>
      <c r="Y187" s="20"/>
      <c r="Z187" s="20"/>
    </row>
    <row r="188" ht="56.25" customHeight="1">
      <c r="A188" s="24"/>
      <c r="B188" s="24"/>
      <c r="C188" s="24"/>
      <c r="D188" s="24"/>
      <c r="E188" s="25"/>
      <c r="F188" s="20"/>
      <c r="G188" s="20"/>
      <c r="H188" s="20"/>
      <c r="I188" s="20"/>
      <c r="J188" s="20"/>
      <c r="K188" s="20"/>
      <c r="L188" s="20"/>
      <c r="M188" s="20"/>
      <c r="N188" s="20"/>
      <c r="O188" s="20"/>
      <c r="P188" s="20"/>
      <c r="Q188" s="20"/>
      <c r="R188" s="20"/>
      <c r="S188" s="20"/>
      <c r="T188" s="20"/>
      <c r="U188" s="20"/>
      <c r="V188" s="20"/>
      <c r="W188" s="20"/>
      <c r="X188" s="20"/>
      <c r="Y188" s="20"/>
      <c r="Z188" s="20"/>
    </row>
    <row r="189" ht="56.25" customHeight="1">
      <c r="A189" s="24"/>
      <c r="B189" s="24"/>
      <c r="C189" s="24"/>
      <c r="D189" s="24"/>
      <c r="E189" s="25"/>
      <c r="F189" s="20"/>
      <c r="G189" s="20"/>
      <c r="H189" s="20"/>
      <c r="I189" s="20"/>
      <c r="J189" s="20"/>
      <c r="K189" s="20"/>
      <c r="L189" s="20"/>
      <c r="M189" s="20"/>
      <c r="N189" s="20"/>
      <c r="O189" s="20"/>
      <c r="P189" s="20"/>
      <c r="Q189" s="20"/>
      <c r="R189" s="20"/>
      <c r="S189" s="20"/>
      <c r="T189" s="20"/>
      <c r="U189" s="20"/>
      <c r="V189" s="20"/>
      <c r="W189" s="20"/>
      <c r="X189" s="20"/>
      <c r="Y189" s="20"/>
      <c r="Z189" s="20"/>
    </row>
    <row r="190" ht="56.25" customHeight="1">
      <c r="A190" s="24"/>
      <c r="B190" s="24"/>
      <c r="C190" s="24"/>
      <c r="D190" s="24"/>
      <c r="E190" s="25"/>
      <c r="F190" s="20"/>
      <c r="G190" s="20"/>
      <c r="H190" s="20"/>
      <c r="I190" s="20"/>
      <c r="J190" s="20"/>
      <c r="K190" s="20"/>
      <c r="L190" s="20"/>
      <c r="M190" s="20"/>
      <c r="N190" s="20"/>
      <c r="O190" s="20"/>
      <c r="P190" s="20"/>
      <c r="Q190" s="20"/>
      <c r="R190" s="20"/>
      <c r="S190" s="20"/>
      <c r="T190" s="20"/>
      <c r="U190" s="20"/>
      <c r="V190" s="20"/>
      <c r="W190" s="20"/>
      <c r="X190" s="20"/>
      <c r="Y190" s="20"/>
      <c r="Z190" s="20"/>
    </row>
    <row r="191" ht="56.25" customHeight="1">
      <c r="A191" s="24"/>
      <c r="B191" s="24"/>
      <c r="C191" s="24"/>
      <c r="D191" s="24"/>
      <c r="E191" s="25"/>
      <c r="F191" s="20"/>
      <c r="G191" s="20"/>
      <c r="H191" s="20"/>
      <c r="I191" s="20"/>
      <c r="J191" s="20"/>
      <c r="K191" s="20"/>
      <c r="L191" s="20"/>
      <c r="M191" s="20"/>
      <c r="N191" s="20"/>
      <c r="O191" s="20"/>
      <c r="P191" s="20"/>
      <c r="Q191" s="20"/>
      <c r="R191" s="20"/>
      <c r="S191" s="20"/>
      <c r="T191" s="20"/>
      <c r="U191" s="20"/>
      <c r="V191" s="20"/>
      <c r="W191" s="20"/>
      <c r="X191" s="20"/>
      <c r="Y191" s="20"/>
      <c r="Z191" s="20"/>
    </row>
    <row r="192" ht="56.25" customHeight="1">
      <c r="A192" s="24"/>
      <c r="B192" s="24"/>
      <c r="C192" s="24"/>
      <c r="D192" s="24"/>
      <c r="E192" s="25"/>
      <c r="F192" s="20"/>
      <c r="G192" s="20"/>
      <c r="H192" s="20"/>
      <c r="I192" s="20"/>
      <c r="J192" s="20"/>
      <c r="K192" s="20"/>
      <c r="L192" s="20"/>
      <c r="M192" s="20"/>
      <c r="N192" s="20"/>
      <c r="O192" s="20"/>
      <c r="P192" s="20"/>
      <c r="Q192" s="20"/>
      <c r="R192" s="20"/>
      <c r="S192" s="20"/>
      <c r="T192" s="20"/>
      <c r="U192" s="20"/>
      <c r="V192" s="20"/>
      <c r="W192" s="20"/>
      <c r="X192" s="20"/>
      <c r="Y192" s="20"/>
      <c r="Z192" s="20"/>
    </row>
    <row r="193" ht="56.25" customHeight="1">
      <c r="A193" s="24"/>
      <c r="B193" s="24"/>
      <c r="C193" s="24"/>
      <c r="D193" s="24"/>
      <c r="E193" s="25"/>
      <c r="F193" s="20"/>
      <c r="G193" s="20"/>
      <c r="H193" s="20"/>
      <c r="I193" s="20"/>
      <c r="J193" s="20"/>
      <c r="K193" s="20"/>
      <c r="L193" s="20"/>
      <c r="M193" s="20"/>
      <c r="N193" s="20"/>
      <c r="O193" s="20"/>
      <c r="P193" s="20"/>
      <c r="Q193" s="20"/>
      <c r="R193" s="20"/>
      <c r="S193" s="20"/>
      <c r="T193" s="20"/>
      <c r="U193" s="20"/>
      <c r="V193" s="20"/>
      <c r="W193" s="20"/>
      <c r="X193" s="20"/>
      <c r="Y193" s="20"/>
      <c r="Z193" s="20"/>
    </row>
    <row r="194" ht="56.25" customHeight="1">
      <c r="A194" s="24"/>
      <c r="B194" s="24"/>
      <c r="C194" s="24"/>
      <c r="D194" s="24"/>
      <c r="E194" s="25"/>
      <c r="F194" s="20"/>
      <c r="G194" s="20"/>
      <c r="H194" s="20"/>
      <c r="I194" s="20"/>
      <c r="J194" s="20"/>
      <c r="K194" s="20"/>
      <c r="L194" s="20"/>
      <c r="M194" s="20"/>
      <c r="N194" s="20"/>
      <c r="O194" s="20"/>
      <c r="P194" s="20"/>
      <c r="Q194" s="20"/>
      <c r="R194" s="20"/>
      <c r="S194" s="20"/>
      <c r="T194" s="20"/>
      <c r="U194" s="20"/>
      <c r="V194" s="20"/>
      <c r="W194" s="20"/>
      <c r="X194" s="20"/>
      <c r="Y194" s="20"/>
      <c r="Z194" s="20"/>
    </row>
    <row r="195" ht="56.25" customHeight="1">
      <c r="A195" s="24"/>
      <c r="B195" s="24"/>
      <c r="C195" s="24"/>
      <c r="D195" s="24"/>
      <c r="E195" s="25"/>
      <c r="F195" s="20"/>
      <c r="G195" s="20"/>
      <c r="H195" s="20"/>
      <c r="I195" s="20"/>
      <c r="J195" s="20"/>
      <c r="K195" s="20"/>
      <c r="L195" s="20"/>
      <c r="M195" s="20"/>
      <c r="N195" s="20"/>
      <c r="O195" s="20"/>
      <c r="P195" s="20"/>
      <c r="Q195" s="20"/>
      <c r="R195" s="20"/>
      <c r="S195" s="20"/>
      <c r="T195" s="20"/>
      <c r="U195" s="20"/>
      <c r="V195" s="20"/>
      <c r="W195" s="20"/>
      <c r="X195" s="20"/>
      <c r="Y195" s="20"/>
      <c r="Z195" s="20"/>
    </row>
    <row r="196" ht="56.25" customHeight="1">
      <c r="A196" s="24"/>
      <c r="B196" s="24"/>
      <c r="C196" s="24"/>
      <c r="D196" s="24"/>
      <c r="E196" s="25"/>
      <c r="F196" s="20"/>
      <c r="G196" s="20"/>
      <c r="H196" s="20"/>
      <c r="I196" s="20"/>
      <c r="J196" s="20"/>
      <c r="K196" s="20"/>
      <c r="L196" s="20"/>
      <c r="M196" s="20"/>
      <c r="N196" s="20"/>
      <c r="O196" s="20"/>
      <c r="P196" s="20"/>
      <c r="Q196" s="20"/>
      <c r="R196" s="20"/>
      <c r="S196" s="20"/>
      <c r="T196" s="20"/>
      <c r="U196" s="20"/>
      <c r="V196" s="20"/>
      <c r="W196" s="20"/>
      <c r="X196" s="20"/>
      <c r="Y196" s="20"/>
      <c r="Z196" s="20"/>
    </row>
    <row r="197" ht="56.25" customHeight="1">
      <c r="A197" s="24"/>
      <c r="B197" s="24"/>
      <c r="C197" s="24"/>
      <c r="D197" s="24"/>
      <c r="E197" s="25"/>
      <c r="F197" s="20"/>
      <c r="G197" s="20"/>
      <c r="H197" s="20"/>
      <c r="I197" s="20"/>
      <c r="J197" s="20"/>
      <c r="K197" s="20"/>
      <c r="L197" s="20"/>
      <c r="M197" s="20"/>
      <c r="N197" s="20"/>
      <c r="O197" s="20"/>
      <c r="P197" s="20"/>
      <c r="Q197" s="20"/>
      <c r="R197" s="20"/>
      <c r="S197" s="20"/>
      <c r="T197" s="20"/>
      <c r="U197" s="20"/>
      <c r="V197" s="20"/>
      <c r="W197" s="20"/>
      <c r="X197" s="20"/>
      <c r="Y197" s="20"/>
      <c r="Z197" s="20"/>
    </row>
    <row r="198" ht="56.25" customHeight="1">
      <c r="A198" s="24"/>
      <c r="B198" s="24"/>
      <c r="C198" s="24"/>
      <c r="D198" s="24"/>
      <c r="E198" s="25"/>
      <c r="F198" s="20"/>
      <c r="G198" s="20"/>
      <c r="H198" s="20"/>
      <c r="I198" s="20"/>
      <c r="J198" s="20"/>
      <c r="K198" s="20"/>
      <c r="L198" s="20"/>
      <c r="M198" s="20"/>
      <c r="N198" s="20"/>
      <c r="O198" s="20"/>
      <c r="P198" s="20"/>
      <c r="Q198" s="20"/>
      <c r="R198" s="20"/>
      <c r="S198" s="20"/>
      <c r="T198" s="20"/>
      <c r="U198" s="20"/>
      <c r="V198" s="20"/>
      <c r="W198" s="20"/>
      <c r="X198" s="20"/>
      <c r="Y198" s="20"/>
      <c r="Z198" s="20"/>
    </row>
    <row r="199" ht="56.25" customHeight="1">
      <c r="A199" s="24"/>
      <c r="B199" s="24"/>
      <c r="C199" s="24"/>
      <c r="D199" s="24"/>
      <c r="E199" s="25"/>
      <c r="F199" s="20"/>
      <c r="G199" s="20"/>
      <c r="H199" s="20"/>
      <c r="I199" s="20"/>
      <c r="J199" s="20"/>
      <c r="K199" s="20"/>
      <c r="L199" s="20"/>
      <c r="M199" s="20"/>
      <c r="N199" s="20"/>
      <c r="O199" s="20"/>
      <c r="P199" s="20"/>
      <c r="Q199" s="20"/>
      <c r="R199" s="20"/>
      <c r="S199" s="20"/>
      <c r="T199" s="20"/>
      <c r="U199" s="20"/>
      <c r="V199" s="20"/>
      <c r="W199" s="20"/>
      <c r="X199" s="20"/>
      <c r="Y199" s="20"/>
      <c r="Z199" s="20"/>
    </row>
    <row r="200" ht="56.25" customHeight="1">
      <c r="A200" s="24"/>
      <c r="B200" s="24"/>
      <c r="C200" s="24"/>
      <c r="D200" s="24"/>
      <c r="E200" s="25"/>
      <c r="F200" s="20"/>
      <c r="G200" s="20"/>
      <c r="H200" s="20"/>
      <c r="I200" s="20"/>
      <c r="J200" s="20"/>
      <c r="K200" s="20"/>
      <c r="L200" s="20"/>
      <c r="M200" s="20"/>
      <c r="N200" s="20"/>
      <c r="O200" s="20"/>
      <c r="P200" s="20"/>
      <c r="Q200" s="20"/>
      <c r="R200" s="20"/>
      <c r="S200" s="20"/>
      <c r="T200" s="20"/>
      <c r="U200" s="20"/>
      <c r="V200" s="20"/>
      <c r="W200" s="20"/>
      <c r="X200" s="20"/>
      <c r="Y200" s="20"/>
      <c r="Z200" s="20"/>
    </row>
    <row r="201" ht="56.25" customHeight="1">
      <c r="A201" s="24"/>
      <c r="B201" s="24"/>
      <c r="C201" s="24"/>
      <c r="D201" s="24"/>
      <c r="E201" s="25"/>
      <c r="F201" s="20"/>
      <c r="G201" s="20"/>
      <c r="H201" s="20"/>
      <c r="I201" s="20"/>
      <c r="J201" s="20"/>
      <c r="K201" s="20"/>
      <c r="L201" s="20"/>
      <c r="M201" s="20"/>
      <c r="N201" s="20"/>
      <c r="O201" s="20"/>
      <c r="P201" s="20"/>
      <c r="Q201" s="20"/>
      <c r="R201" s="20"/>
      <c r="S201" s="20"/>
      <c r="T201" s="20"/>
      <c r="U201" s="20"/>
      <c r="V201" s="20"/>
      <c r="W201" s="20"/>
      <c r="X201" s="20"/>
      <c r="Y201" s="20"/>
      <c r="Z201" s="20"/>
    </row>
    <row r="202" ht="56.25" customHeight="1">
      <c r="A202" s="24"/>
      <c r="B202" s="24"/>
      <c r="C202" s="24"/>
      <c r="D202" s="24"/>
      <c r="E202" s="25"/>
      <c r="F202" s="20"/>
      <c r="G202" s="20"/>
      <c r="H202" s="20"/>
      <c r="I202" s="20"/>
      <c r="J202" s="20"/>
      <c r="K202" s="20"/>
      <c r="L202" s="20"/>
      <c r="M202" s="20"/>
      <c r="N202" s="20"/>
      <c r="O202" s="20"/>
      <c r="P202" s="20"/>
      <c r="Q202" s="20"/>
      <c r="R202" s="20"/>
      <c r="S202" s="20"/>
      <c r="T202" s="20"/>
      <c r="U202" s="20"/>
      <c r="V202" s="20"/>
      <c r="W202" s="20"/>
      <c r="X202" s="20"/>
      <c r="Y202" s="20"/>
      <c r="Z202" s="20"/>
    </row>
    <row r="203" ht="56.25" customHeight="1">
      <c r="A203" s="24"/>
      <c r="B203" s="24"/>
      <c r="C203" s="24"/>
      <c r="D203" s="24"/>
      <c r="E203" s="25"/>
      <c r="F203" s="20"/>
      <c r="G203" s="20"/>
      <c r="H203" s="20"/>
      <c r="I203" s="20"/>
      <c r="J203" s="20"/>
      <c r="K203" s="20"/>
      <c r="L203" s="20"/>
      <c r="M203" s="20"/>
      <c r="N203" s="20"/>
      <c r="O203" s="20"/>
      <c r="P203" s="20"/>
      <c r="Q203" s="20"/>
      <c r="R203" s="20"/>
      <c r="S203" s="20"/>
      <c r="T203" s="20"/>
      <c r="U203" s="20"/>
      <c r="V203" s="20"/>
      <c r="W203" s="20"/>
      <c r="X203" s="20"/>
      <c r="Y203" s="20"/>
      <c r="Z203" s="20"/>
    </row>
    <row r="204" ht="56.25" customHeight="1">
      <c r="A204" s="24"/>
      <c r="B204" s="24"/>
      <c r="C204" s="24"/>
      <c r="D204" s="24"/>
      <c r="E204" s="25"/>
      <c r="F204" s="20"/>
      <c r="G204" s="20"/>
      <c r="H204" s="20"/>
      <c r="I204" s="20"/>
      <c r="J204" s="20"/>
      <c r="K204" s="20"/>
      <c r="L204" s="20"/>
      <c r="M204" s="20"/>
      <c r="N204" s="20"/>
      <c r="O204" s="20"/>
      <c r="P204" s="20"/>
      <c r="Q204" s="20"/>
      <c r="R204" s="20"/>
      <c r="S204" s="20"/>
      <c r="T204" s="20"/>
      <c r="U204" s="20"/>
      <c r="V204" s="20"/>
      <c r="W204" s="20"/>
      <c r="X204" s="20"/>
      <c r="Y204" s="20"/>
      <c r="Z204" s="20"/>
    </row>
    <row r="205" ht="56.25" customHeight="1">
      <c r="A205" s="24"/>
      <c r="B205" s="24"/>
      <c r="C205" s="24"/>
      <c r="D205" s="24"/>
      <c r="E205" s="25"/>
      <c r="F205" s="20"/>
      <c r="G205" s="20"/>
      <c r="H205" s="20"/>
      <c r="I205" s="20"/>
      <c r="J205" s="20"/>
      <c r="K205" s="20"/>
      <c r="L205" s="20"/>
      <c r="M205" s="20"/>
      <c r="N205" s="20"/>
      <c r="O205" s="20"/>
      <c r="P205" s="20"/>
      <c r="Q205" s="20"/>
      <c r="R205" s="20"/>
      <c r="S205" s="20"/>
      <c r="T205" s="20"/>
      <c r="U205" s="20"/>
      <c r="V205" s="20"/>
      <c r="W205" s="20"/>
      <c r="X205" s="20"/>
      <c r="Y205" s="20"/>
      <c r="Z205" s="20"/>
    </row>
    <row r="206" ht="56.25" customHeight="1">
      <c r="A206" s="24"/>
      <c r="B206" s="24"/>
      <c r="C206" s="24"/>
      <c r="D206" s="24"/>
      <c r="E206" s="25"/>
      <c r="F206" s="20"/>
      <c r="G206" s="20"/>
      <c r="H206" s="20"/>
      <c r="I206" s="20"/>
      <c r="J206" s="20"/>
      <c r="K206" s="20"/>
      <c r="L206" s="20"/>
      <c r="M206" s="20"/>
      <c r="N206" s="20"/>
      <c r="O206" s="20"/>
      <c r="P206" s="20"/>
      <c r="Q206" s="20"/>
      <c r="R206" s="20"/>
      <c r="S206" s="20"/>
      <c r="T206" s="20"/>
      <c r="U206" s="20"/>
      <c r="V206" s="20"/>
      <c r="W206" s="20"/>
      <c r="X206" s="20"/>
      <c r="Y206" s="20"/>
      <c r="Z206" s="20"/>
    </row>
    <row r="207" ht="56.25" customHeight="1">
      <c r="A207" s="24"/>
      <c r="B207" s="24"/>
      <c r="C207" s="24"/>
      <c r="D207" s="24"/>
      <c r="E207" s="25"/>
      <c r="F207" s="20"/>
      <c r="G207" s="20"/>
      <c r="H207" s="20"/>
      <c r="I207" s="20"/>
      <c r="J207" s="20"/>
      <c r="K207" s="20"/>
      <c r="L207" s="20"/>
      <c r="M207" s="20"/>
      <c r="N207" s="20"/>
      <c r="O207" s="20"/>
      <c r="P207" s="20"/>
      <c r="Q207" s="20"/>
      <c r="R207" s="20"/>
      <c r="S207" s="20"/>
      <c r="T207" s="20"/>
      <c r="U207" s="20"/>
      <c r="V207" s="20"/>
      <c r="W207" s="20"/>
      <c r="X207" s="20"/>
      <c r="Y207" s="20"/>
      <c r="Z207" s="20"/>
    </row>
    <row r="208" ht="56.25" customHeight="1">
      <c r="A208" s="24"/>
      <c r="B208" s="24"/>
      <c r="C208" s="24"/>
      <c r="D208" s="24"/>
      <c r="E208" s="25"/>
      <c r="F208" s="20"/>
      <c r="G208" s="20"/>
      <c r="H208" s="20"/>
      <c r="I208" s="20"/>
      <c r="J208" s="20"/>
      <c r="K208" s="20"/>
      <c r="L208" s="20"/>
      <c r="M208" s="20"/>
      <c r="N208" s="20"/>
      <c r="O208" s="20"/>
      <c r="P208" s="20"/>
      <c r="Q208" s="20"/>
      <c r="R208" s="20"/>
      <c r="S208" s="20"/>
      <c r="T208" s="20"/>
      <c r="U208" s="20"/>
      <c r="V208" s="20"/>
      <c r="W208" s="20"/>
      <c r="X208" s="20"/>
      <c r="Y208" s="20"/>
      <c r="Z208" s="20"/>
    </row>
    <row r="209" ht="56.25" customHeight="1">
      <c r="A209" s="24"/>
      <c r="B209" s="24"/>
      <c r="C209" s="24"/>
      <c r="D209" s="24"/>
      <c r="E209" s="25"/>
      <c r="F209" s="20"/>
      <c r="G209" s="20"/>
      <c r="H209" s="20"/>
      <c r="I209" s="20"/>
      <c r="J209" s="20"/>
      <c r="K209" s="20"/>
      <c r="L209" s="20"/>
      <c r="M209" s="20"/>
      <c r="N209" s="20"/>
      <c r="O209" s="20"/>
      <c r="P209" s="20"/>
      <c r="Q209" s="20"/>
      <c r="R209" s="20"/>
      <c r="S209" s="20"/>
      <c r="T209" s="20"/>
      <c r="U209" s="20"/>
      <c r="V209" s="20"/>
      <c r="W209" s="20"/>
      <c r="X209" s="20"/>
      <c r="Y209" s="20"/>
      <c r="Z209" s="20"/>
    </row>
    <row r="210" ht="56.25" customHeight="1">
      <c r="A210" s="24"/>
      <c r="B210" s="24"/>
      <c r="C210" s="24"/>
      <c r="D210" s="24"/>
      <c r="E210" s="25"/>
      <c r="F210" s="20"/>
      <c r="G210" s="20"/>
      <c r="H210" s="20"/>
      <c r="I210" s="20"/>
      <c r="J210" s="20"/>
      <c r="K210" s="20"/>
      <c r="L210" s="20"/>
      <c r="M210" s="20"/>
      <c r="N210" s="20"/>
      <c r="O210" s="20"/>
      <c r="P210" s="20"/>
      <c r="Q210" s="20"/>
      <c r="R210" s="20"/>
      <c r="S210" s="20"/>
      <c r="T210" s="20"/>
      <c r="U210" s="20"/>
      <c r="V210" s="20"/>
      <c r="W210" s="20"/>
      <c r="X210" s="20"/>
      <c r="Y210" s="20"/>
      <c r="Z210" s="20"/>
    </row>
    <row r="211" ht="56.25" customHeight="1">
      <c r="A211" s="24"/>
      <c r="B211" s="24"/>
      <c r="C211" s="24"/>
      <c r="D211" s="24"/>
      <c r="E211" s="25"/>
      <c r="F211" s="20"/>
      <c r="G211" s="20"/>
      <c r="H211" s="20"/>
      <c r="I211" s="20"/>
      <c r="J211" s="20"/>
      <c r="K211" s="20"/>
      <c r="L211" s="20"/>
      <c r="M211" s="20"/>
      <c r="N211" s="20"/>
      <c r="O211" s="20"/>
      <c r="P211" s="20"/>
      <c r="Q211" s="20"/>
      <c r="R211" s="20"/>
      <c r="S211" s="20"/>
      <c r="T211" s="20"/>
      <c r="U211" s="20"/>
      <c r="V211" s="20"/>
      <c r="W211" s="20"/>
      <c r="X211" s="20"/>
      <c r="Y211" s="20"/>
      <c r="Z211" s="20"/>
    </row>
    <row r="212" ht="56.25" customHeight="1">
      <c r="A212" s="24"/>
      <c r="B212" s="24"/>
      <c r="C212" s="24"/>
      <c r="D212" s="24"/>
      <c r="E212" s="25"/>
      <c r="F212" s="20"/>
      <c r="G212" s="20"/>
      <c r="H212" s="20"/>
      <c r="I212" s="20"/>
      <c r="J212" s="20"/>
      <c r="K212" s="20"/>
      <c r="L212" s="20"/>
      <c r="M212" s="20"/>
      <c r="N212" s="20"/>
      <c r="O212" s="20"/>
      <c r="P212" s="20"/>
      <c r="Q212" s="20"/>
      <c r="R212" s="20"/>
      <c r="S212" s="20"/>
      <c r="T212" s="20"/>
      <c r="U212" s="20"/>
      <c r="V212" s="20"/>
      <c r="W212" s="20"/>
      <c r="X212" s="20"/>
      <c r="Y212" s="20"/>
      <c r="Z212" s="20"/>
    </row>
    <row r="213" ht="56.25" customHeight="1">
      <c r="A213" s="24"/>
      <c r="B213" s="24"/>
      <c r="C213" s="24"/>
      <c r="D213" s="24"/>
      <c r="E213" s="25"/>
      <c r="F213" s="20"/>
      <c r="G213" s="20"/>
      <c r="H213" s="20"/>
      <c r="I213" s="20"/>
      <c r="J213" s="20"/>
      <c r="K213" s="20"/>
      <c r="L213" s="20"/>
      <c r="M213" s="20"/>
      <c r="N213" s="20"/>
      <c r="O213" s="20"/>
      <c r="P213" s="20"/>
      <c r="Q213" s="20"/>
      <c r="R213" s="20"/>
      <c r="S213" s="20"/>
      <c r="T213" s="20"/>
      <c r="U213" s="20"/>
      <c r="V213" s="20"/>
      <c r="W213" s="20"/>
      <c r="X213" s="20"/>
      <c r="Y213" s="20"/>
      <c r="Z213" s="20"/>
    </row>
    <row r="214" ht="56.25" customHeight="1">
      <c r="A214" s="24"/>
      <c r="B214" s="24"/>
      <c r="C214" s="24"/>
      <c r="D214" s="24"/>
      <c r="E214" s="25"/>
      <c r="F214" s="20"/>
      <c r="G214" s="20"/>
      <c r="H214" s="20"/>
      <c r="I214" s="20"/>
      <c r="J214" s="20"/>
      <c r="K214" s="20"/>
      <c r="L214" s="20"/>
      <c r="M214" s="20"/>
      <c r="N214" s="20"/>
      <c r="O214" s="20"/>
      <c r="P214" s="20"/>
      <c r="Q214" s="20"/>
      <c r="R214" s="20"/>
      <c r="S214" s="20"/>
      <c r="T214" s="20"/>
      <c r="U214" s="20"/>
      <c r="V214" s="20"/>
      <c r="W214" s="20"/>
      <c r="X214" s="20"/>
      <c r="Y214" s="20"/>
      <c r="Z214" s="20"/>
    </row>
    <row r="215" ht="56.25" customHeight="1">
      <c r="A215" s="24"/>
      <c r="B215" s="24"/>
      <c r="C215" s="24"/>
      <c r="D215" s="24"/>
      <c r="E215" s="25"/>
      <c r="F215" s="20"/>
      <c r="G215" s="20"/>
      <c r="H215" s="20"/>
      <c r="I215" s="20"/>
      <c r="J215" s="20"/>
      <c r="K215" s="20"/>
      <c r="L215" s="20"/>
      <c r="M215" s="20"/>
      <c r="N215" s="20"/>
      <c r="O215" s="20"/>
      <c r="P215" s="20"/>
      <c r="Q215" s="20"/>
      <c r="R215" s="20"/>
      <c r="S215" s="20"/>
      <c r="T215" s="20"/>
      <c r="U215" s="20"/>
      <c r="V215" s="20"/>
      <c r="W215" s="20"/>
      <c r="X215" s="20"/>
      <c r="Y215" s="20"/>
      <c r="Z215" s="20"/>
    </row>
    <row r="216" ht="56.25" customHeight="1">
      <c r="A216" s="24"/>
      <c r="B216" s="24"/>
      <c r="C216" s="24"/>
      <c r="D216" s="24"/>
      <c r="E216" s="25"/>
      <c r="F216" s="20"/>
      <c r="G216" s="20"/>
      <c r="H216" s="20"/>
      <c r="I216" s="20"/>
      <c r="J216" s="20"/>
      <c r="K216" s="20"/>
      <c r="L216" s="20"/>
      <c r="M216" s="20"/>
      <c r="N216" s="20"/>
      <c r="O216" s="20"/>
      <c r="P216" s="20"/>
      <c r="Q216" s="20"/>
      <c r="R216" s="20"/>
      <c r="S216" s="20"/>
      <c r="T216" s="20"/>
      <c r="U216" s="20"/>
      <c r="V216" s="20"/>
      <c r="W216" s="20"/>
      <c r="X216" s="20"/>
      <c r="Y216" s="20"/>
      <c r="Z216" s="20"/>
    </row>
    <row r="217" ht="56.25" customHeight="1">
      <c r="A217" s="24"/>
      <c r="B217" s="24"/>
      <c r="C217" s="24"/>
      <c r="D217" s="24"/>
      <c r="E217" s="25"/>
      <c r="F217" s="20"/>
      <c r="G217" s="20"/>
      <c r="H217" s="20"/>
      <c r="I217" s="20"/>
      <c r="J217" s="20"/>
      <c r="K217" s="20"/>
      <c r="L217" s="20"/>
      <c r="M217" s="20"/>
      <c r="N217" s="20"/>
      <c r="O217" s="20"/>
      <c r="P217" s="20"/>
      <c r="Q217" s="20"/>
      <c r="R217" s="20"/>
      <c r="S217" s="20"/>
      <c r="T217" s="20"/>
      <c r="U217" s="20"/>
      <c r="V217" s="20"/>
      <c r="W217" s="20"/>
      <c r="X217" s="20"/>
      <c r="Y217" s="20"/>
      <c r="Z217" s="20"/>
    </row>
    <row r="218" ht="56.25" customHeight="1">
      <c r="A218" s="24"/>
      <c r="B218" s="24"/>
      <c r="C218" s="24"/>
      <c r="D218" s="24"/>
      <c r="E218" s="25"/>
      <c r="F218" s="20"/>
      <c r="G218" s="20"/>
      <c r="H218" s="20"/>
      <c r="I218" s="20"/>
      <c r="J218" s="20"/>
      <c r="K218" s="20"/>
      <c r="L218" s="20"/>
      <c r="M218" s="20"/>
      <c r="N218" s="20"/>
      <c r="O218" s="20"/>
      <c r="P218" s="20"/>
      <c r="Q218" s="20"/>
      <c r="R218" s="20"/>
      <c r="S218" s="20"/>
      <c r="T218" s="20"/>
      <c r="U218" s="20"/>
      <c r="V218" s="20"/>
      <c r="W218" s="20"/>
      <c r="X218" s="20"/>
      <c r="Y218" s="20"/>
      <c r="Z218" s="20"/>
    </row>
    <row r="219" ht="56.25" customHeight="1">
      <c r="A219" s="24"/>
      <c r="B219" s="24"/>
      <c r="C219" s="24"/>
      <c r="D219" s="24"/>
      <c r="E219" s="25"/>
      <c r="F219" s="20"/>
      <c r="G219" s="20"/>
      <c r="H219" s="20"/>
      <c r="I219" s="20"/>
      <c r="J219" s="20"/>
      <c r="K219" s="20"/>
      <c r="L219" s="20"/>
      <c r="M219" s="20"/>
      <c r="N219" s="20"/>
      <c r="O219" s="20"/>
      <c r="P219" s="20"/>
      <c r="Q219" s="20"/>
      <c r="R219" s="20"/>
      <c r="S219" s="20"/>
      <c r="T219" s="20"/>
      <c r="U219" s="20"/>
      <c r="V219" s="20"/>
      <c r="W219" s="20"/>
      <c r="X219" s="20"/>
      <c r="Y219" s="20"/>
      <c r="Z219" s="20"/>
    </row>
    <row r="220" ht="56.25" customHeight="1">
      <c r="A220" s="24"/>
      <c r="B220" s="24"/>
      <c r="C220" s="24"/>
      <c r="D220" s="24"/>
      <c r="E220" s="25"/>
      <c r="F220" s="20"/>
      <c r="G220" s="20"/>
      <c r="H220" s="20"/>
      <c r="I220" s="20"/>
      <c r="J220" s="20"/>
      <c r="K220" s="20"/>
      <c r="L220" s="20"/>
      <c r="M220" s="20"/>
      <c r="N220" s="20"/>
      <c r="O220" s="20"/>
      <c r="P220" s="20"/>
      <c r="Q220" s="20"/>
      <c r="R220" s="20"/>
      <c r="S220" s="20"/>
      <c r="T220" s="20"/>
      <c r="U220" s="20"/>
      <c r="V220" s="20"/>
      <c r="W220" s="20"/>
      <c r="X220" s="20"/>
      <c r="Y220" s="20"/>
      <c r="Z220" s="20"/>
    </row>
    <row r="221" ht="56.25" customHeight="1">
      <c r="A221" s="24"/>
      <c r="B221" s="24"/>
      <c r="C221" s="24"/>
      <c r="D221" s="24"/>
      <c r="E221" s="25"/>
      <c r="F221" s="20"/>
      <c r="G221" s="20"/>
      <c r="H221" s="20"/>
      <c r="I221" s="20"/>
      <c r="J221" s="20"/>
      <c r="K221" s="20"/>
      <c r="L221" s="20"/>
      <c r="M221" s="20"/>
      <c r="N221" s="20"/>
      <c r="O221" s="20"/>
      <c r="P221" s="20"/>
      <c r="Q221" s="20"/>
      <c r="R221" s="20"/>
      <c r="S221" s="20"/>
      <c r="T221" s="20"/>
      <c r="U221" s="20"/>
      <c r="V221" s="20"/>
      <c r="W221" s="20"/>
      <c r="X221" s="20"/>
      <c r="Y221" s="20"/>
      <c r="Z221" s="20"/>
    </row>
    <row r="222" ht="56.25" customHeight="1">
      <c r="A222" s="24"/>
      <c r="B222" s="24"/>
      <c r="C222" s="24"/>
      <c r="D222" s="24"/>
      <c r="E222" s="25"/>
      <c r="F222" s="20"/>
      <c r="G222" s="20"/>
      <c r="H222" s="20"/>
      <c r="I222" s="20"/>
      <c r="J222" s="20"/>
      <c r="K222" s="20"/>
      <c r="L222" s="20"/>
      <c r="M222" s="20"/>
      <c r="N222" s="20"/>
      <c r="O222" s="20"/>
      <c r="P222" s="20"/>
      <c r="Q222" s="20"/>
      <c r="R222" s="20"/>
      <c r="S222" s="20"/>
      <c r="T222" s="20"/>
      <c r="U222" s="20"/>
      <c r="V222" s="20"/>
      <c r="W222" s="20"/>
      <c r="X222" s="20"/>
      <c r="Y222" s="20"/>
      <c r="Z222" s="20"/>
    </row>
    <row r="223" ht="56.25" customHeight="1">
      <c r="A223" s="24"/>
      <c r="B223" s="24"/>
      <c r="C223" s="24"/>
      <c r="D223" s="24"/>
      <c r="E223" s="25"/>
      <c r="F223" s="20"/>
      <c r="G223" s="20"/>
      <c r="H223" s="20"/>
      <c r="I223" s="20"/>
      <c r="J223" s="20"/>
      <c r="K223" s="20"/>
      <c r="L223" s="20"/>
      <c r="M223" s="20"/>
      <c r="N223" s="20"/>
      <c r="O223" s="20"/>
      <c r="P223" s="20"/>
      <c r="Q223" s="20"/>
      <c r="R223" s="20"/>
      <c r="S223" s="20"/>
      <c r="T223" s="20"/>
      <c r="U223" s="20"/>
      <c r="V223" s="20"/>
      <c r="W223" s="20"/>
      <c r="X223" s="20"/>
      <c r="Y223" s="20"/>
      <c r="Z223" s="20"/>
    </row>
    <row r="224" ht="56.25" customHeight="1">
      <c r="A224" s="24"/>
      <c r="B224" s="24"/>
      <c r="C224" s="24"/>
      <c r="D224" s="24"/>
      <c r="E224" s="25"/>
      <c r="F224" s="20"/>
      <c r="G224" s="20"/>
      <c r="H224" s="20"/>
      <c r="I224" s="20"/>
      <c r="J224" s="20"/>
      <c r="K224" s="20"/>
      <c r="L224" s="20"/>
      <c r="M224" s="20"/>
      <c r="N224" s="20"/>
      <c r="O224" s="20"/>
      <c r="P224" s="20"/>
      <c r="Q224" s="20"/>
      <c r="R224" s="20"/>
      <c r="S224" s="20"/>
      <c r="T224" s="20"/>
      <c r="U224" s="20"/>
      <c r="V224" s="20"/>
      <c r="W224" s="20"/>
      <c r="X224" s="20"/>
      <c r="Y224" s="20"/>
      <c r="Z224" s="20"/>
    </row>
    <row r="225" ht="56.25" customHeight="1">
      <c r="A225" s="24"/>
      <c r="B225" s="24"/>
      <c r="C225" s="24"/>
      <c r="D225" s="24"/>
      <c r="E225" s="25"/>
      <c r="F225" s="20"/>
      <c r="G225" s="20"/>
      <c r="H225" s="20"/>
      <c r="I225" s="20"/>
      <c r="J225" s="20"/>
      <c r="K225" s="20"/>
      <c r="L225" s="20"/>
      <c r="M225" s="20"/>
      <c r="N225" s="20"/>
      <c r="O225" s="20"/>
      <c r="P225" s="20"/>
      <c r="Q225" s="20"/>
      <c r="R225" s="20"/>
      <c r="S225" s="20"/>
      <c r="T225" s="20"/>
      <c r="U225" s="20"/>
      <c r="V225" s="20"/>
      <c r="W225" s="20"/>
      <c r="X225" s="20"/>
      <c r="Y225" s="20"/>
      <c r="Z225" s="20"/>
    </row>
    <row r="226" ht="56.25" customHeight="1">
      <c r="A226" s="24"/>
      <c r="B226" s="24"/>
      <c r="C226" s="24"/>
      <c r="D226" s="24"/>
      <c r="E226" s="25"/>
      <c r="F226" s="20"/>
      <c r="G226" s="20"/>
      <c r="H226" s="20"/>
      <c r="I226" s="20"/>
      <c r="J226" s="20"/>
      <c r="K226" s="20"/>
      <c r="L226" s="20"/>
      <c r="M226" s="20"/>
      <c r="N226" s="20"/>
      <c r="O226" s="20"/>
      <c r="P226" s="20"/>
      <c r="Q226" s="20"/>
      <c r="R226" s="20"/>
      <c r="S226" s="20"/>
      <c r="T226" s="20"/>
      <c r="U226" s="20"/>
      <c r="V226" s="20"/>
      <c r="W226" s="20"/>
      <c r="X226" s="20"/>
      <c r="Y226" s="20"/>
      <c r="Z226" s="20"/>
    </row>
    <row r="227" ht="56.25" customHeight="1">
      <c r="A227" s="24"/>
      <c r="B227" s="24"/>
      <c r="C227" s="24"/>
      <c r="D227" s="24"/>
      <c r="E227" s="25"/>
      <c r="F227" s="20"/>
      <c r="G227" s="20"/>
      <c r="H227" s="20"/>
      <c r="I227" s="20"/>
      <c r="J227" s="20"/>
      <c r="K227" s="20"/>
      <c r="L227" s="20"/>
      <c r="M227" s="20"/>
      <c r="N227" s="20"/>
      <c r="O227" s="20"/>
      <c r="P227" s="20"/>
      <c r="Q227" s="20"/>
      <c r="R227" s="20"/>
      <c r="S227" s="20"/>
      <c r="T227" s="20"/>
      <c r="U227" s="20"/>
      <c r="V227" s="20"/>
      <c r="W227" s="20"/>
      <c r="X227" s="20"/>
      <c r="Y227" s="20"/>
      <c r="Z227" s="20"/>
    </row>
    <row r="228" ht="56.25" customHeight="1">
      <c r="A228" s="24"/>
      <c r="B228" s="24"/>
      <c r="C228" s="24"/>
      <c r="D228" s="24"/>
      <c r="E228" s="25"/>
      <c r="F228" s="20"/>
      <c r="G228" s="20"/>
      <c r="H228" s="20"/>
      <c r="I228" s="20"/>
      <c r="J228" s="20"/>
      <c r="K228" s="20"/>
      <c r="L228" s="20"/>
      <c r="M228" s="20"/>
      <c r="N228" s="20"/>
      <c r="O228" s="20"/>
      <c r="P228" s="20"/>
      <c r="Q228" s="20"/>
      <c r="R228" s="20"/>
      <c r="S228" s="20"/>
      <c r="T228" s="20"/>
      <c r="U228" s="20"/>
      <c r="V228" s="20"/>
      <c r="W228" s="20"/>
      <c r="X228" s="20"/>
      <c r="Y228" s="20"/>
      <c r="Z228" s="20"/>
    </row>
    <row r="229" ht="56.25" customHeight="1">
      <c r="A229" s="24"/>
      <c r="B229" s="24"/>
      <c r="C229" s="24"/>
      <c r="D229" s="24"/>
      <c r="E229" s="25"/>
      <c r="F229" s="20"/>
      <c r="G229" s="20"/>
      <c r="H229" s="20"/>
      <c r="I229" s="20"/>
      <c r="J229" s="20"/>
      <c r="K229" s="20"/>
      <c r="L229" s="20"/>
      <c r="M229" s="20"/>
      <c r="N229" s="20"/>
      <c r="O229" s="20"/>
      <c r="P229" s="20"/>
      <c r="Q229" s="20"/>
      <c r="R229" s="20"/>
      <c r="S229" s="20"/>
      <c r="T229" s="20"/>
      <c r="U229" s="20"/>
      <c r="V229" s="20"/>
      <c r="W229" s="20"/>
      <c r="X229" s="20"/>
      <c r="Y229" s="20"/>
      <c r="Z229" s="20"/>
    </row>
    <row r="230" ht="56.25" customHeight="1">
      <c r="A230" s="24"/>
      <c r="B230" s="24"/>
      <c r="C230" s="24"/>
      <c r="D230" s="24"/>
      <c r="E230" s="25"/>
      <c r="F230" s="20"/>
      <c r="G230" s="20"/>
      <c r="H230" s="20"/>
      <c r="I230" s="20"/>
      <c r="J230" s="20"/>
      <c r="K230" s="20"/>
      <c r="L230" s="20"/>
      <c r="M230" s="20"/>
      <c r="N230" s="20"/>
      <c r="O230" s="20"/>
      <c r="P230" s="20"/>
      <c r="Q230" s="20"/>
      <c r="R230" s="20"/>
      <c r="S230" s="20"/>
      <c r="T230" s="20"/>
      <c r="U230" s="20"/>
      <c r="V230" s="20"/>
      <c r="W230" s="20"/>
      <c r="X230" s="20"/>
      <c r="Y230" s="20"/>
      <c r="Z230" s="20"/>
    </row>
    <row r="231" ht="56.25" customHeight="1">
      <c r="A231" s="24"/>
      <c r="B231" s="24"/>
      <c r="C231" s="24"/>
      <c r="D231" s="24"/>
      <c r="E231" s="25"/>
      <c r="F231" s="20"/>
      <c r="G231" s="20"/>
      <c r="H231" s="20"/>
      <c r="I231" s="20"/>
      <c r="J231" s="20"/>
      <c r="K231" s="20"/>
      <c r="L231" s="20"/>
      <c r="M231" s="20"/>
      <c r="N231" s="20"/>
      <c r="O231" s="20"/>
      <c r="P231" s="20"/>
      <c r="Q231" s="20"/>
      <c r="R231" s="20"/>
      <c r="S231" s="20"/>
      <c r="T231" s="20"/>
      <c r="U231" s="20"/>
      <c r="V231" s="20"/>
      <c r="W231" s="20"/>
      <c r="X231" s="20"/>
      <c r="Y231" s="20"/>
      <c r="Z231" s="20"/>
    </row>
    <row r="232" ht="56.25" customHeight="1">
      <c r="A232" s="24"/>
      <c r="B232" s="24"/>
      <c r="C232" s="24"/>
      <c r="D232" s="24"/>
      <c r="E232" s="25"/>
      <c r="F232" s="20"/>
      <c r="G232" s="20"/>
      <c r="H232" s="20"/>
      <c r="I232" s="20"/>
      <c r="J232" s="20"/>
      <c r="K232" s="20"/>
      <c r="L232" s="20"/>
      <c r="M232" s="20"/>
      <c r="N232" s="20"/>
      <c r="O232" s="20"/>
      <c r="P232" s="20"/>
      <c r="Q232" s="20"/>
      <c r="R232" s="20"/>
      <c r="S232" s="20"/>
      <c r="T232" s="20"/>
      <c r="U232" s="20"/>
      <c r="V232" s="20"/>
      <c r="W232" s="20"/>
      <c r="X232" s="20"/>
      <c r="Y232" s="20"/>
      <c r="Z232" s="20"/>
    </row>
    <row r="233" ht="56.25" customHeight="1">
      <c r="A233" s="24"/>
      <c r="B233" s="24"/>
      <c r="C233" s="24"/>
      <c r="D233" s="24"/>
      <c r="E233" s="25"/>
      <c r="F233" s="20"/>
      <c r="G233" s="20"/>
      <c r="H233" s="20"/>
      <c r="I233" s="20"/>
      <c r="J233" s="20"/>
      <c r="K233" s="20"/>
      <c r="L233" s="20"/>
      <c r="M233" s="20"/>
      <c r="N233" s="20"/>
      <c r="O233" s="20"/>
      <c r="P233" s="20"/>
      <c r="Q233" s="20"/>
      <c r="R233" s="20"/>
      <c r="S233" s="20"/>
      <c r="T233" s="20"/>
      <c r="U233" s="20"/>
      <c r="V233" s="20"/>
      <c r="W233" s="20"/>
      <c r="X233" s="20"/>
      <c r="Y233" s="20"/>
      <c r="Z233" s="20"/>
    </row>
    <row r="234" ht="56.25" customHeight="1">
      <c r="A234" s="24"/>
      <c r="B234" s="24"/>
      <c r="C234" s="24"/>
      <c r="D234" s="24"/>
      <c r="E234" s="25"/>
      <c r="F234" s="20"/>
      <c r="G234" s="20"/>
      <c r="H234" s="20"/>
      <c r="I234" s="20"/>
      <c r="J234" s="20"/>
      <c r="K234" s="20"/>
      <c r="L234" s="20"/>
      <c r="M234" s="20"/>
      <c r="N234" s="20"/>
      <c r="O234" s="20"/>
      <c r="P234" s="20"/>
      <c r="Q234" s="20"/>
      <c r="R234" s="20"/>
      <c r="S234" s="20"/>
      <c r="T234" s="20"/>
      <c r="U234" s="20"/>
      <c r="V234" s="20"/>
      <c r="W234" s="20"/>
      <c r="X234" s="20"/>
      <c r="Y234" s="20"/>
      <c r="Z234" s="20"/>
    </row>
    <row r="235" ht="56.25" customHeight="1">
      <c r="A235" s="24"/>
      <c r="B235" s="24"/>
      <c r="C235" s="24"/>
      <c r="D235" s="24"/>
      <c r="E235" s="25"/>
      <c r="F235" s="20"/>
      <c r="G235" s="20"/>
      <c r="H235" s="20"/>
      <c r="I235" s="20"/>
      <c r="J235" s="20"/>
      <c r="K235" s="20"/>
      <c r="L235" s="20"/>
      <c r="M235" s="20"/>
      <c r="N235" s="20"/>
      <c r="O235" s="20"/>
      <c r="P235" s="20"/>
      <c r="Q235" s="20"/>
      <c r="R235" s="20"/>
      <c r="S235" s="20"/>
      <c r="T235" s="20"/>
      <c r="U235" s="20"/>
      <c r="V235" s="20"/>
      <c r="W235" s="20"/>
      <c r="X235" s="20"/>
      <c r="Y235" s="20"/>
      <c r="Z235" s="20"/>
    </row>
    <row r="236" ht="56.25" customHeight="1">
      <c r="A236" s="24"/>
      <c r="B236" s="24"/>
      <c r="C236" s="24"/>
      <c r="D236" s="24"/>
      <c r="E236" s="25"/>
      <c r="F236" s="20"/>
      <c r="G236" s="20"/>
      <c r="H236" s="20"/>
      <c r="I236" s="20"/>
      <c r="J236" s="20"/>
      <c r="K236" s="20"/>
      <c r="L236" s="20"/>
      <c r="M236" s="20"/>
      <c r="N236" s="20"/>
      <c r="O236" s="20"/>
      <c r="P236" s="20"/>
      <c r="Q236" s="20"/>
      <c r="R236" s="20"/>
      <c r="S236" s="20"/>
      <c r="T236" s="20"/>
      <c r="U236" s="20"/>
      <c r="V236" s="20"/>
      <c r="W236" s="20"/>
      <c r="X236" s="20"/>
      <c r="Y236" s="20"/>
      <c r="Z236" s="20"/>
    </row>
    <row r="237" ht="56.25" customHeight="1">
      <c r="A237" s="24"/>
      <c r="B237" s="24"/>
      <c r="C237" s="24"/>
      <c r="D237" s="24"/>
      <c r="E237" s="25"/>
      <c r="F237" s="20"/>
      <c r="G237" s="20"/>
      <c r="H237" s="20"/>
      <c r="I237" s="20"/>
      <c r="J237" s="20"/>
      <c r="K237" s="20"/>
      <c r="L237" s="20"/>
      <c r="M237" s="20"/>
      <c r="N237" s="20"/>
      <c r="O237" s="20"/>
      <c r="P237" s="20"/>
      <c r="Q237" s="20"/>
      <c r="R237" s="20"/>
      <c r="S237" s="20"/>
      <c r="T237" s="20"/>
      <c r="U237" s="20"/>
      <c r="V237" s="20"/>
      <c r="W237" s="20"/>
      <c r="X237" s="20"/>
      <c r="Y237" s="20"/>
      <c r="Z237" s="20"/>
    </row>
    <row r="238" ht="56.25" customHeight="1">
      <c r="A238" s="24"/>
      <c r="B238" s="24"/>
      <c r="C238" s="24"/>
      <c r="D238" s="24"/>
      <c r="E238" s="25"/>
      <c r="F238" s="20"/>
      <c r="G238" s="20"/>
      <c r="H238" s="20"/>
      <c r="I238" s="20"/>
      <c r="J238" s="20"/>
      <c r="K238" s="20"/>
      <c r="L238" s="20"/>
      <c r="M238" s="20"/>
      <c r="N238" s="20"/>
      <c r="O238" s="20"/>
      <c r="P238" s="20"/>
      <c r="Q238" s="20"/>
      <c r="R238" s="20"/>
      <c r="S238" s="20"/>
      <c r="T238" s="20"/>
      <c r="U238" s="20"/>
      <c r="V238" s="20"/>
      <c r="W238" s="20"/>
      <c r="X238" s="20"/>
      <c r="Y238" s="20"/>
      <c r="Z238" s="20"/>
    </row>
    <row r="239" ht="56.25" customHeight="1">
      <c r="A239" s="24"/>
      <c r="B239" s="24"/>
      <c r="C239" s="24"/>
      <c r="D239" s="24"/>
      <c r="E239" s="25"/>
      <c r="F239" s="20"/>
      <c r="G239" s="20"/>
      <c r="H239" s="20"/>
      <c r="I239" s="20"/>
      <c r="J239" s="20"/>
      <c r="K239" s="20"/>
      <c r="L239" s="20"/>
      <c r="M239" s="20"/>
      <c r="N239" s="20"/>
      <c r="O239" s="20"/>
      <c r="P239" s="20"/>
      <c r="Q239" s="20"/>
      <c r="R239" s="20"/>
      <c r="S239" s="20"/>
      <c r="T239" s="20"/>
      <c r="U239" s="20"/>
      <c r="V239" s="20"/>
      <c r="W239" s="20"/>
      <c r="X239" s="20"/>
      <c r="Y239" s="20"/>
      <c r="Z239" s="20"/>
    </row>
    <row r="240" ht="56.25" customHeight="1">
      <c r="A240" s="24"/>
      <c r="B240" s="24"/>
      <c r="C240" s="24"/>
      <c r="D240" s="24"/>
      <c r="E240" s="25"/>
      <c r="F240" s="20"/>
      <c r="G240" s="20"/>
      <c r="H240" s="20"/>
      <c r="I240" s="20"/>
      <c r="J240" s="20"/>
      <c r="K240" s="20"/>
      <c r="L240" s="20"/>
      <c r="M240" s="20"/>
      <c r="N240" s="20"/>
      <c r="O240" s="20"/>
      <c r="P240" s="20"/>
      <c r="Q240" s="20"/>
      <c r="R240" s="20"/>
      <c r="S240" s="20"/>
      <c r="T240" s="20"/>
      <c r="U240" s="20"/>
      <c r="V240" s="20"/>
      <c r="W240" s="20"/>
      <c r="X240" s="20"/>
      <c r="Y240" s="20"/>
      <c r="Z240" s="20"/>
    </row>
    <row r="241" ht="56.25" customHeight="1">
      <c r="A241" s="24"/>
      <c r="B241" s="24"/>
      <c r="C241" s="24"/>
      <c r="D241" s="24"/>
      <c r="E241" s="25"/>
      <c r="F241" s="20"/>
      <c r="G241" s="20"/>
      <c r="H241" s="20"/>
      <c r="I241" s="20"/>
      <c r="J241" s="20"/>
      <c r="K241" s="20"/>
      <c r="L241" s="20"/>
      <c r="M241" s="20"/>
      <c r="N241" s="20"/>
      <c r="O241" s="20"/>
      <c r="P241" s="20"/>
      <c r="Q241" s="20"/>
      <c r="R241" s="20"/>
      <c r="S241" s="20"/>
      <c r="T241" s="20"/>
      <c r="U241" s="20"/>
      <c r="V241" s="20"/>
      <c r="W241" s="20"/>
      <c r="X241" s="20"/>
      <c r="Y241" s="20"/>
      <c r="Z241" s="20"/>
    </row>
    <row r="242" ht="56.25" customHeight="1">
      <c r="A242" s="24"/>
      <c r="B242" s="24"/>
      <c r="C242" s="24"/>
      <c r="D242" s="24"/>
      <c r="E242" s="25"/>
      <c r="F242" s="20"/>
      <c r="G242" s="20"/>
      <c r="H242" s="20"/>
      <c r="I242" s="20"/>
      <c r="J242" s="20"/>
      <c r="K242" s="20"/>
      <c r="L242" s="20"/>
      <c r="M242" s="20"/>
      <c r="N242" s="20"/>
      <c r="O242" s="20"/>
      <c r="P242" s="20"/>
      <c r="Q242" s="20"/>
      <c r="R242" s="20"/>
      <c r="S242" s="20"/>
      <c r="T242" s="20"/>
      <c r="U242" s="20"/>
      <c r="V242" s="20"/>
      <c r="W242" s="20"/>
      <c r="X242" s="20"/>
      <c r="Y242" s="20"/>
      <c r="Z242" s="20"/>
    </row>
    <row r="243" ht="56.25" customHeight="1">
      <c r="A243" s="24"/>
      <c r="B243" s="24"/>
      <c r="C243" s="24"/>
      <c r="D243" s="24"/>
      <c r="E243" s="25"/>
      <c r="F243" s="20"/>
      <c r="G243" s="20"/>
      <c r="H243" s="20"/>
      <c r="I243" s="20"/>
      <c r="J243" s="20"/>
      <c r="K243" s="20"/>
      <c r="L243" s="20"/>
      <c r="M243" s="20"/>
      <c r="N243" s="20"/>
      <c r="O243" s="20"/>
      <c r="P243" s="20"/>
      <c r="Q243" s="20"/>
      <c r="R243" s="20"/>
      <c r="S243" s="20"/>
      <c r="T243" s="20"/>
      <c r="U243" s="20"/>
      <c r="V243" s="20"/>
      <c r="W243" s="20"/>
      <c r="X243" s="20"/>
      <c r="Y243" s="20"/>
      <c r="Z243" s="20"/>
    </row>
    <row r="244" ht="56.25" customHeight="1">
      <c r="A244" s="24"/>
      <c r="B244" s="24"/>
      <c r="C244" s="24"/>
      <c r="D244" s="24"/>
      <c r="E244" s="25"/>
      <c r="F244" s="20"/>
      <c r="G244" s="20"/>
      <c r="H244" s="20"/>
      <c r="I244" s="20"/>
      <c r="J244" s="20"/>
      <c r="K244" s="20"/>
      <c r="L244" s="20"/>
      <c r="M244" s="20"/>
      <c r="N244" s="20"/>
      <c r="O244" s="20"/>
      <c r="P244" s="20"/>
      <c r="Q244" s="20"/>
      <c r="R244" s="20"/>
      <c r="S244" s="20"/>
      <c r="T244" s="20"/>
      <c r="U244" s="20"/>
      <c r="V244" s="20"/>
      <c r="W244" s="20"/>
      <c r="X244" s="20"/>
      <c r="Y244" s="20"/>
      <c r="Z244" s="20"/>
    </row>
    <row r="245" ht="56.25" customHeight="1">
      <c r="A245" s="24"/>
      <c r="B245" s="24"/>
      <c r="C245" s="24"/>
      <c r="D245" s="24"/>
      <c r="E245" s="25"/>
      <c r="F245" s="20"/>
      <c r="G245" s="20"/>
      <c r="H245" s="20"/>
      <c r="I245" s="20"/>
      <c r="J245" s="20"/>
      <c r="K245" s="20"/>
      <c r="L245" s="20"/>
      <c r="M245" s="20"/>
      <c r="N245" s="20"/>
      <c r="O245" s="20"/>
      <c r="P245" s="20"/>
      <c r="Q245" s="20"/>
      <c r="R245" s="20"/>
      <c r="S245" s="20"/>
      <c r="T245" s="20"/>
      <c r="U245" s="20"/>
      <c r="V245" s="20"/>
      <c r="W245" s="20"/>
      <c r="X245" s="20"/>
      <c r="Y245" s="20"/>
      <c r="Z245" s="20"/>
    </row>
    <row r="246" ht="56.25" customHeight="1">
      <c r="A246" s="24"/>
      <c r="B246" s="24"/>
      <c r="C246" s="24"/>
      <c r="D246" s="24"/>
      <c r="E246" s="25"/>
      <c r="F246" s="20"/>
      <c r="G246" s="20"/>
      <c r="H246" s="20"/>
      <c r="I246" s="20"/>
      <c r="J246" s="20"/>
      <c r="K246" s="20"/>
      <c r="L246" s="20"/>
      <c r="M246" s="20"/>
      <c r="N246" s="20"/>
      <c r="O246" s="20"/>
      <c r="P246" s="20"/>
      <c r="Q246" s="20"/>
      <c r="R246" s="20"/>
      <c r="S246" s="20"/>
      <c r="T246" s="20"/>
      <c r="U246" s="20"/>
      <c r="V246" s="20"/>
      <c r="W246" s="20"/>
      <c r="X246" s="20"/>
      <c r="Y246" s="20"/>
      <c r="Z246" s="20"/>
    </row>
    <row r="247" ht="56.25" customHeight="1">
      <c r="A247" s="24"/>
      <c r="B247" s="24"/>
      <c r="C247" s="24"/>
      <c r="D247" s="24"/>
      <c r="E247" s="25"/>
      <c r="F247" s="20"/>
      <c r="G247" s="20"/>
      <c r="H247" s="20"/>
      <c r="I247" s="20"/>
      <c r="J247" s="20"/>
      <c r="K247" s="20"/>
      <c r="L247" s="20"/>
      <c r="M247" s="20"/>
      <c r="N247" s="20"/>
      <c r="O247" s="20"/>
      <c r="P247" s="20"/>
      <c r="Q247" s="20"/>
      <c r="R247" s="20"/>
      <c r="S247" s="20"/>
      <c r="T247" s="20"/>
      <c r="U247" s="20"/>
      <c r="V247" s="20"/>
      <c r="W247" s="20"/>
      <c r="X247" s="20"/>
      <c r="Y247" s="20"/>
      <c r="Z247" s="20"/>
    </row>
    <row r="248" ht="56.25" customHeight="1">
      <c r="A248" s="24"/>
      <c r="B248" s="24"/>
      <c r="C248" s="24"/>
      <c r="D248" s="24"/>
      <c r="E248" s="25"/>
      <c r="F248" s="20"/>
      <c r="G248" s="20"/>
      <c r="H248" s="20"/>
      <c r="I248" s="20"/>
      <c r="J248" s="20"/>
      <c r="K248" s="20"/>
      <c r="L248" s="20"/>
      <c r="M248" s="20"/>
      <c r="N248" s="20"/>
      <c r="O248" s="20"/>
      <c r="P248" s="20"/>
      <c r="Q248" s="20"/>
      <c r="R248" s="20"/>
      <c r="S248" s="20"/>
      <c r="T248" s="20"/>
      <c r="U248" s="20"/>
      <c r="V248" s="20"/>
      <c r="W248" s="20"/>
      <c r="X248" s="20"/>
      <c r="Y248" s="20"/>
      <c r="Z248" s="20"/>
    </row>
    <row r="249" ht="56.25" customHeight="1">
      <c r="A249" s="24"/>
      <c r="B249" s="24"/>
      <c r="C249" s="24"/>
      <c r="D249" s="24"/>
      <c r="E249" s="25"/>
      <c r="F249" s="20"/>
      <c r="G249" s="20"/>
      <c r="H249" s="20"/>
      <c r="I249" s="20"/>
      <c r="J249" s="20"/>
      <c r="K249" s="20"/>
      <c r="L249" s="20"/>
      <c r="M249" s="20"/>
      <c r="N249" s="20"/>
      <c r="O249" s="20"/>
      <c r="P249" s="20"/>
      <c r="Q249" s="20"/>
      <c r="R249" s="20"/>
      <c r="S249" s="20"/>
      <c r="T249" s="20"/>
      <c r="U249" s="20"/>
      <c r="V249" s="20"/>
      <c r="W249" s="20"/>
      <c r="X249" s="20"/>
      <c r="Y249" s="20"/>
      <c r="Z249" s="20"/>
    </row>
    <row r="250" ht="56.25" customHeight="1">
      <c r="A250" s="24"/>
      <c r="B250" s="24"/>
      <c r="C250" s="24"/>
      <c r="D250" s="24"/>
      <c r="E250" s="25"/>
      <c r="F250" s="20"/>
      <c r="G250" s="20"/>
      <c r="H250" s="20"/>
      <c r="I250" s="20"/>
      <c r="J250" s="20"/>
      <c r="K250" s="20"/>
      <c r="L250" s="20"/>
      <c r="M250" s="20"/>
      <c r="N250" s="20"/>
      <c r="O250" s="20"/>
      <c r="P250" s="20"/>
      <c r="Q250" s="20"/>
      <c r="R250" s="20"/>
      <c r="S250" s="20"/>
      <c r="T250" s="20"/>
      <c r="U250" s="20"/>
      <c r="V250" s="20"/>
      <c r="W250" s="20"/>
      <c r="X250" s="20"/>
      <c r="Y250" s="20"/>
      <c r="Z250" s="20"/>
    </row>
    <row r="251" ht="56.25" customHeight="1">
      <c r="A251" s="24"/>
      <c r="B251" s="24"/>
      <c r="C251" s="24"/>
      <c r="D251" s="24"/>
      <c r="E251" s="25"/>
      <c r="F251" s="20"/>
      <c r="G251" s="20"/>
      <c r="H251" s="20"/>
      <c r="I251" s="20"/>
      <c r="J251" s="20"/>
      <c r="K251" s="20"/>
      <c r="L251" s="20"/>
      <c r="M251" s="20"/>
      <c r="N251" s="20"/>
      <c r="O251" s="20"/>
      <c r="P251" s="20"/>
      <c r="Q251" s="20"/>
      <c r="R251" s="20"/>
      <c r="S251" s="20"/>
      <c r="T251" s="20"/>
      <c r="U251" s="20"/>
      <c r="V251" s="20"/>
      <c r="W251" s="20"/>
      <c r="X251" s="20"/>
      <c r="Y251" s="20"/>
      <c r="Z251" s="20"/>
    </row>
    <row r="252" ht="56.25" customHeight="1">
      <c r="A252" s="24"/>
      <c r="B252" s="24"/>
      <c r="C252" s="24"/>
      <c r="D252" s="24"/>
      <c r="E252" s="25"/>
      <c r="F252" s="20"/>
      <c r="G252" s="20"/>
      <c r="H252" s="20"/>
      <c r="I252" s="20"/>
      <c r="J252" s="20"/>
      <c r="K252" s="20"/>
      <c r="L252" s="20"/>
      <c r="M252" s="20"/>
      <c r="N252" s="20"/>
      <c r="O252" s="20"/>
      <c r="P252" s="20"/>
      <c r="Q252" s="20"/>
      <c r="R252" s="20"/>
      <c r="S252" s="20"/>
      <c r="T252" s="20"/>
      <c r="U252" s="20"/>
      <c r="V252" s="20"/>
      <c r="W252" s="20"/>
      <c r="X252" s="20"/>
      <c r="Y252" s="20"/>
      <c r="Z252" s="20"/>
    </row>
    <row r="253" ht="56.25" customHeight="1">
      <c r="A253" s="24"/>
      <c r="B253" s="24"/>
      <c r="C253" s="24"/>
      <c r="D253" s="24"/>
      <c r="E253" s="25"/>
      <c r="F253" s="20"/>
      <c r="G253" s="20"/>
      <c r="H253" s="20"/>
      <c r="I253" s="20"/>
      <c r="J253" s="20"/>
      <c r="K253" s="20"/>
      <c r="L253" s="20"/>
      <c r="M253" s="20"/>
      <c r="N253" s="20"/>
      <c r="O253" s="20"/>
      <c r="P253" s="20"/>
      <c r="Q253" s="20"/>
      <c r="R253" s="20"/>
      <c r="S253" s="20"/>
      <c r="T253" s="20"/>
      <c r="U253" s="20"/>
      <c r="V253" s="20"/>
      <c r="W253" s="20"/>
      <c r="X253" s="20"/>
      <c r="Y253" s="20"/>
      <c r="Z253" s="20"/>
    </row>
    <row r="254" ht="56.25" customHeight="1">
      <c r="A254" s="24"/>
      <c r="B254" s="24"/>
      <c r="C254" s="24"/>
      <c r="D254" s="24"/>
      <c r="E254" s="25"/>
      <c r="F254" s="20"/>
      <c r="G254" s="20"/>
      <c r="H254" s="20"/>
      <c r="I254" s="20"/>
      <c r="J254" s="20"/>
      <c r="K254" s="20"/>
      <c r="L254" s="20"/>
      <c r="M254" s="20"/>
      <c r="N254" s="20"/>
      <c r="O254" s="20"/>
      <c r="P254" s="20"/>
      <c r="Q254" s="20"/>
      <c r="R254" s="20"/>
      <c r="S254" s="20"/>
      <c r="T254" s="20"/>
      <c r="U254" s="20"/>
      <c r="V254" s="20"/>
      <c r="W254" s="20"/>
      <c r="X254" s="20"/>
      <c r="Y254" s="20"/>
      <c r="Z254" s="20"/>
    </row>
    <row r="255" ht="56.25" customHeight="1">
      <c r="A255" s="24"/>
      <c r="B255" s="24"/>
      <c r="C255" s="24"/>
      <c r="D255" s="24"/>
      <c r="E255" s="25"/>
      <c r="F255" s="20"/>
      <c r="G255" s="20"/>
      <c r="H255" s="20"/>
      <c r="I255" s="20"/>
      <c r="J255" s="20"/>
      <c r="K255" s="20"/>
      <c r="L255" s="20"/>
      <c r="M255" s="20"/>
      <c r="N255" s="20"/>
      <c r="O255" s="20"/>
      <c r="P255" s="20"/>
      <c r="Q255" s="20"/>
      <c r="R255" s="20"/>
      <c r="S255" s="20"/>
      <c r="T255" s="20"/>
      <c r="U255" s="20"/>
      <c r="V255" s="20"/>
      <c r="W255" s="20"/>
      <c r="X255" s="20"/>
      <c r="Y255" s="20"/>
      <c r="Z255" s="20"/>
    </row>
    <row r="256" ht="56.25" customHeight="1">
      <c r="A256" s="24"/>
      <c r="B256" s="24"/>
      <c r="C256" s="24"/>
      <c r="D256" s="24"/>
      <c r="E256" s="25"/>
      <c r="F256" s="20"/>
      <c r="G256" s="20"/>
      <c r="H256" s="20"/>
      <c r="I256" s="20"/>
      <c r="J256" s="20"/>
      <c r="K256" s="20"/>
      <c r="L256" s="20"/>
      <c r="M256" s="20"/>
      <c r="N256" s="20"/>
      <c r="O256" s="20"/>
      <c r="P256" s="20"/>
      <c r="Q256" s="20"/>
      <c r="R256" s="20"/>
      <c r="S256" s="20"/>
      <c r="T256" s="20"/>
      <c r="U256" s="20"/>
      <c r="V256" s="20"/>
      <c r="W256" s="20"/>
      <c r="X256" s="20"/>
      <c r="Y256" s="20"/>
      <c r="Z256" s="20"/>
    </row>
    <row r="257" ht="56.25" customHeight="1">
      <c r="A257" s="24"/>
      <c r="B257" s="24"/>
      <c r="C257" s="24"/>
      <c r="D257" s="24"/>
      <c r="E257" s="25"/>
      <c r="F257" s="20"/>
      <c r="G257" s="20"/>
      <c r="H257" s="20"/>
      <c r="I257" s="20"/>
      <c r="J257" s="20"/>
      <c r="K257" s="20"/>
      <c r="L257" s="20"/>
      <c r="M257" s="20"/>
      <c r="N257" s="20"/>
      <c r="O257" s="20"/>
      <c r="P257" s="20"/>
      <c r="Q257" s="20"/>
      <c r="R257" s="20"/>
      <c r="S257" s="20"/>
      <c r="T257" s="20"/>
      <c r="U257" s="20"/>
      <c r="V257" s="20"/>
      <c r="W257" s="20"/>
      <c r="X257" s="20"/>
      <c r="Y257" s="20"/>
      <c r="Z257" s="20"/>
    </row>
    <row r="258" ht="56.25" customHeight="1">
      <c r="A258" s="24"/>
      <c r="B258" s="24"/>
      <c r="C258" s="24"/>
      <c r="D258" s="24"/>
      <c r="E258" s="25"/>
      <c r="F258" s="20"/>
      <c r="G258" s="20"/>
      <c r="H258" s="20"/>
      <c r="I258" s="20"/>
      <c r="J258" s="20"/>
      <c r="K258" s="20"/>
      <c r="L258" s="20"/>
      <c r="M258" s="20"/>
      <c r="N258" s="20"/>
      <c r="O258" s="20"/>
      <c r="P258" s="20"/>
      <c r="Q258" s="20"/>
      <c r="R258" s="20"/>
      <c r="S258" s="20"/>
      <c r="T258" s="20"/>
      <c r="U258" s="20"/>
      <c r="V258" s="20"/>
      <c r="W258" s="20"/>
      <c r="X258" s="20"/>
      <c r="Y258" s="20"/>
      <c r="Z258" s="20"/>
    </row>
    <row r="259" ht="56.25" customHeight="1">
      <c r="A259" s="24"/>
      <c r="B259" s="24"/>
      <c r="C259" s="24"/>
      <c r="D259" s="24"/>
      <c r="E259" s="25"/>
      <c r="F259" s="20"/>
      <c r="G259" s="20"/>
      <c r="H259" s="20"/>
      <c r="I259" s="20"/>
      <c r="J259" s="20"/>
      <c r="K259" s="20"/>
      <c r="L259" s="20"/>
      <c r="M259" s="20"/>
      <c r="N259" s="20"/>
      <c r="O259" s="20"/>
      <c r="P259" s="20"/>
      <c r="Q259" s="20"/>
      <c r="R259" s="20"/>
      <c r="S259" s="20"/>
      <c r="T259" s="20"/>
      <c r="U259" s="20"/>
      <c r="V259" s="20"/>
      <c r="W259" s="20"/>
      <c r="X259" s="20"/>
      <c r="Y259" s="20"/>
      <c r="Z259" s="20"/>
    </row>
    <row r="260" ht="56.25" customHeight="1">
      <c r="A260" s="24"/>
      <c r="B260" s="24"/>
      <c r="C260" s="24"/>
      <c r="D260" s="24"/>
      <c r="E260" s="25"/>
      <c r="F260" s="20"/>
      <c r="G260" s="20"/>
      <c r="H260" s="20"/>
      <c r="I260" s="20"/>
      <c r="J260" s="20"/>
      <c r="K260" s="20"/>
      <c r="L260" s="20"/>
      <c r="M260" s="20"/>
      <c r="N260" s="20"/>
      <c r="O260" s="20"/>
      <c r="P260" s="20"/>
      <c r="Q260" s="20"/>
      <c r="R260" s="20"/>
      <c r="S260" s="20"/>
      <c r="T260" s="20"/>
      <c r="U260" s="20"/>
      <c r="V260" s="20"/>
      <c r="W260" s="20"/>
      <c r="X260" s="20"/>
      <c r="Y260" s="20"/>
      <c r="Z260" s="20"/>
    </row>
    <row r="261" ht="56.25" customHeight="1">
      <c r="A261" s="24"/>
      <c r="B261" s="24"/>
      <c r="C261" s="24"/>
      <c r="D261" s="24"/>
      <c r="E261" s="25"/>
      <c r="F261" s="20"/>
      <c r="G261" s="20"/>
      <c r="H261" s="20"/>
      <c r="I261" s="20"/>
      <c r="J261" s="20"/>
      <c r="K261" s="20"/>
      <c r="L261" s="20"/>
      <c r="M261" s="20"/>
      <c r="N261" s="20"/>
      <c r="O261" s="20"/>
      <c r="P261" s="20"/>
      <c r="Q261" s="20"/>
      <c r="R261" s="20"/>
      <c r="S261" s="20"/>
      <c r="T261" s="20"/>
      <c r="U261" s="20"/>
      <c r="V261" s="20"/>
      <c r="W261" s="20"/>
      <c r="X261" s="20"/>
      <c r="Y261" s="20"/>
      <c r="Z261" s="20"/>
    </row>
    <row r="262" ht="56.25" customHeight="1">
      <c r="A262" s="24"/>
      <c r="B262" s="24"/>
      <c r="C262" s="24"/>
      <c r="D262" s="24"/>
      <c r="E262" s="25"/>
      <c r="F262" s="20"/>
      <c r="G262" s="20"/>
      <c r="H262" s="20"/>
      <c r="I262" s="20"/>
      <c r="J262" s="20"/>
      <c r="K262" s="20"/>
      <c r="L262" s="20"/>
      <c r="M262" s="20"/>
      <c r="N262" s="20"/>
      <c r="O262" s="20"/>
      <c r="P262" s="20"/>
      <c r="Q262" s="20"/>
      <c r="R262" s="20"/>
      <c r="S262" s="20"/>
      <c r="T262" s="20"/>
      <c r="U262" s="20"/>
      <c r="V262" s="20"/>
      <c r="W262" s="20"/>
      <c r="X262" s="20"/>
      <c r="Y262" s="20"/>
      <c r="Z262" s="20"/>
    </row>
    <row r="263" ht="56.25" customHeight="1">
      <c r="A263" s="24"/>
      <c r="B263" s="24"/>
      <c r="C263" s="24"/>
      <c r="D263" s="24"/>
      <c r="E263" s="25"/>
      <c r="F263" s="20"/>
      <c r="G263" s="20"/>
      <c r="H263" s="20"/>
      <c r="I263" s="20"/>
      <c r="J263" s="20"/>
      <c r="K263" s="20"/>
      <c r="L263" s="20"/>
      <c r="M263" s="20"/>
      <c r="N263" s="20"/>
      <c r="O263" s="20"/>
      <c r="P263" s="20"/>
      <c r="Q263" s="20"/>
      <c r="R263" s="20"/>
      <c r="S263" s="20"/>
      <c r="T263" s="20"/>
      <c r="U263" s="20"/>
      <c r="V263" s="20"/>
      <c r="W263" s="20"/>
      <c r="X263" s="20"/>
      <c r="Y263" s="20"/>
      <c r="Z263" s="20"/>
    </row>
    <row r="264" ht="56.25" customHeight="1">
      <c r="A264" s="24"/>
      <c r="B264" s="24"/>
      <c r="C264" s="24"/>
      <c r="D264" s="24"/>
      <c r="E264" s="25"/>
      <c r="F264" s="20"/>
      <c r="G264" s="20"/>
      <c r="H264" s="20"/>
      <c r="I264" s="20"/>
      <c r="J264" s="20"/>
      <c r="K264" s="20"/>
      <c r="L264" s="20"/>
      <c r="M264" s="20"/>
      <c r="N264" s="20"/>
      <c r="O264" s="20"/>
      <c r="P264" s="20"/>
      <c r="Q264" s="20"/>
      <c r="R264" s="20"/>
      <c r="S264" s="20"/>
      <c r="T264" s="20"/>
      <c r="U264" s="20"/>
      <c r="V264" s="20"/>
      <c r="W264" s="20"/>
      <c r="X264" s="20"/>
      <c r="Y264" s="20"/>
      <c r="Z264" s="20"/>
    </row>
    <row r="265" ht="56.25" customHeight="1">
      <c r="A265" s="24"/>
      <c r="B265" s="24"/>
      <c r="C265" s="24"/>
      <c r="D265" s="24"/>
      <c r="E265" s="25"/>
      <c r="F265" s="20"/>
      <c r="G265" s="20"/>
      <c r="H265" s="20"/>
      <c r="I265" s="20"/>
      <c r="J265" s="20"/>
      <c r="K265" s="20"/>
      <c r="L265" s="20"/>
      <c r="M265" s="20"/>
      <c r="N265" s="20"/>
      <c r="O265" s="20"/>
      <c r="P265" s="20"/>
      <c r="Q265" s="20"/>
      <c r="R265" s="20"/>
      <c r="S265" s="20"/>
      <c r="T265" s="20"/>
      <c r="U265" s="20"/>
      <c r="V265" s="20"/>
      <c r="W265" s="20"/>
      <c r="X265" s="20"/>
      <c r="Y265" s="20"/>
      <c r="Z265" s="20"/>
    </row>
    <row r="266" ht="56.25" customHeight="1">
      <c r="A266" s="24"/>
      <c r="B266" s="24"/>
      <c r="C266" s="24"/>
      <c r="D266" s="24"/>
      <c r="E266" s="25"/>
      <c r="F266" s="20"/>
      <c r="G266" s="20"/>
      <c r="H266" s="20"/>
      <c r="I266" s="20"/>
      <c r="J266" s="20"/>
      <c r="K266" s="20"/>
      <c r="L266" s="20"/>
      <c r="M266" s="20"/>
      <c r="N266" s="20"/>
      <c r="O266" s="20"/>
      <c r="P266" s="20"/>
      <c r="Q266" s="20"/>
      <c r="R266" s="20"/>
      <c r="S266" s="20"/>
      <c r="T266" s="20"/>
      <c r="U266" s="20"/>
      <c r="V266" s="20"/>
      <c r="W266" s="20"/>
      <c r="X266" s="20"/>
      <c r="Y266" s="20"/>
      <c r="Z266" s="20"/>
    </row>
    <row r="267" ht="56.25" customHeight="1">
      <c r="A267" s="24"/>
      <c r="B267" s="24"/>
      <c r="C267" s="24"/>
      <c r="D267" s="24"/>
      <c r="E267" s="25"/>
      <c r="F267" s="20"/>
      <c r="G267" s="20"/>
      <c r="H267" s="20"/>
      <c r="I267" s="20"/>
      <c r="J267" s="20"/>
      <c r="K267" s="20"/>
      <c r="L267" s="20"/>
      <c r="M267" s="20"/>
      <c r="N267" s="20"/>
      <c r="O267" s="20"/>
      <c r="P267" s="20"/>
      <c r="Q267" s="20"/>
      <c r="R267" s="20"/>
      <c r="S267" s="20"/>
      <c r="T267" s="20"/>
      <c r="U267" s="20"/>
      <c r="V267" s="20"/>
      <c r="W267" s="20"/>
      <c r="X267" s="20"/>
      <c r="Y267" s="20"/>
      <c r="Z267" s="20"/>
    </row>
    <row r="268" ht="56.25" customHeight="1">
      <c r="A268" s="24"/>
      <c r="B268" s="24"/>
      <c r="C268" s="24"/>
      <c r="D268" s="24"/>
      <c r="E268" s="25"/>
      <c r="F268" s="20"/>
      <c r="G268" s="20"/>
      <c r="H268" s="20"/>
      <c r="I268" s="20"/>
      <c r="J268" s="20"/>
      <c r="K268" s="20"/>
      <c r="L268" s="20"/>
      <c r="M268" s="20"/>
      <c r="N268" s="20"/>
      <c r="O268" s="20"/>
      <c r="P268" s="20"/>
      <c r="Q268" s="20"/>
      <c r="R268" s="20"/>
      <c r="S268" s="20"/>
      <c r="T268" s="20"/>
      <c r="U268" s="20"/>
      <c r="V268" s="20"/>
      <c r="W268" s="20"/>
      <c r="X268" s="20"/>
      <c r="Y268" s="20"/>
      <c r="Z268" s="20"/>
    </row>
    <row r="269" ht="56.25" customHeight="1">
      <c r="A269" s="24"/>
      <c r="B269" s="24"/>
      <c r="C269" s="24"/>
      <c r="D269" s="24"/>
      <c r="E269" s="25"/>
      <c r="F269" s="20"/>
      <c r="G269" s="20"/>
      <c r="H269" s="20"/>
      <c r="I269" s="20"/>
      <c r="J269" s="20"/>
      <c r="K269" s="20"/>
      <c r="L269" s="20"/>
      <c r="M269" s="20"/>
      <c r="N269" s="20"/>
      <c r="O269" s="20"/>
      <c r="P269" s="20"/>
      <c r="Q269" s="20"/>
      <c r="R269" s="20"/>
      <c r="S269" s="20"/>
      <c r="T269" s="20"/>
      <c r="U269" s="20"/>
      <c r="V269" s="20"/>
      <c r="W269" s="20"/>
      <c r="X269" s="20"/>
      <c r="Y269" s="20"/>
      <c r="Z269" s="20"/>
    </row>
    <row r="270" ht="56.25" customHeight="1">
      <c r="A270" s="24"/>
      <c r="B270" s="24"/>
      <c r="C270" s="24"/>
      <c r="D270" s="24"/>
      <c r="E270" s="25"/>
      <c r="F270" s="20"/>
      <c r="G270" s="20"/>
      <c r="H270" s="20"/>
      <c r="I270" s="20"/>
      <c r="J270" s="20"/>
      <c r="K270" s="20"/>
      <c r="L270" s="20"/>
      <c r="M270" s="20"/>
      <c r="N270" s="20"/>
      <c r="O270" s="20"/>
      <c r="P270" s="20"/>
      <c r="Q270" s="20"/>
      <c r="R270" s="20"/>
      <c r="S270" s="20"/>
      <c r="T270" s="20"/>
      <c r="U270" s="20"/>
      <c r="V270" s="20"/>
      <c r="W270" s="20"/>
      <c r="X270" s="20"/>
      <c r="Y270" s="20"/>
      <c r="Z270" s="20"/>
    </row>
    <row r="271" ht="56.25" customHeight="1">
      <c r="A271" s="24"/>
      <c r="B271" s="24"/>
      <c r="C271" s="24"/>
      <c r="D271" s="24"/>
      <c r="E271" s="25"/>
      <c r="F271" s="20"/>
      <c r="G271" s="20"/>
      <c r="H271" s="20"/>
      <c r="I271" s="20"/>
      <c r="J271" s="20"/>
      <c r="K271" s="20"/>
      <c r="L271" s="20"/>
      <c r="M271" s="20"/>
      <c r="N271" s="20"/>
      <c r="O271" s="20"/>
      <c r="P271" s="20"/>
      <c r="Q271" s="20"/>
      <c r="R271" s="20"/>
      <c r="S271" s="20"/>
      <c r="T271" s="20"/>
      <c r="U271" s="20"/>
      <c r="V271" s="20"/>
      <c r="W271" s="20"/>
      <c r="X271" s="20"/>
      <c r="Y271" s="20"/>
      <c r="Z271" s="20"/>
    </row>
    <row r="272" ht="56.25" customHeight="1">
      <c r="A272" s="24"/>
      <c r="B272" s="24"/>
      <c r="C272" s="24"/>
      <c r="D272" s="24"/>
      <c r="E272" s="25"/>
      <c r="F272" s="20"/>
      <c r="G272" s="20"/>
      <c r="H272" s="20"/>
      <c r="I272" s="20"/>
      <c r="J272" s="20"/>
      <c r="K272" s="20"/>
      <c r="L272" s="20"/>
      <c r="M272" s="20"/>
      <c r="N272" s="20"/>
      <c r="O272" s="20"/>
      <c r="P272" s="20"/>
      <c r="Q272" s="20"/>
      <c r="R272" s="20"/>
      <c r="S272" s="20"/>
      <c r="T272" s="20"/>
      <c r="U272" s="20"/>
      <c r="V272" s="20"/>
      <c r="W272" s="20"/>
      <c r="X272" s="20"/>
      <c r="Y272" s="20"/>
      <c r="Z272" s="20"/>
    </row>
    <row r="273" ht="56.25" customHeight="1">
      <c r="A273" s="24"/>
      <c r="B273" s="24"/>
      <c r="C273" s="24"/>
      <c r="D273" s="24"/>
      <c r="E273" s="25"/>
      <c r="F273" s="20"/>
      <c r="G273" s="20"/>
      <c r="H273" s="20"/>
      <c r="I273" s="20"/>
      <c r="J273" s="20"/>
      <c r="K273" s="20"/>
      <c r="L273" s="20"/>
      <c r="M273" s="20"/>
      <c r="N273" s="20"/>
      <c r="O273" s="20"/>
      <c r="P273" s="20"/>
      <c r="Q273" s="20"/>
      <c r="R273" s="20"/>
      <c r="S273" s="20"/>
      <c r="T273" s="20"/>
      <c r="U273" s="20"/>
      <c r="V273" s="20"/>
      <c r="W273" s="20"/>
      <c r="X273" s="20"/>
      <c r="Y273" s="20"/>
      <c r="Z273" s="20"/>
    </row>
    <row r="274" ht="56.25" customHeight="1">
      <c r="A274" s="24"/>
      <c r="B274" s="24"/>
      <c r="C274" s="24"/>
      <c r="D274" s="24"/>
      <c r="E274" s="25"/>
      <c r="F274" s="20"/>
      <c r="G274" s="20"/>
      <c r="H274" s="20"/>
      <c r="I274" s="20"/>
      <c r="J274" s="20"/>
      <c r="K274" s="20"/>
      <c r="L274" s="20"/>
      <c r="M274" s="20"/>
      <c r="N274" s="20"/>
      <c r="O274" s="20"/>
      <c r="P274" s="20"/>
      <c r="Q274" s="20"/>
      <c r="R274" s="20"/>
      <c r="S274" s="20"/>
      <c r="T274" s="20"/>
      <c r="U274" s="20"/>
      <c r="V274" s="20"/>
      <c r="W274" s="20"/>
      <c r="X274" s="20"/>
      <c r="Y274" s="20"/>
      <c r="Z274" s="20"/>
    </row>
    <row r="275" ht="56.25" customHeight="1">
      <c r="A275" s="24"/>
      <c r="B275" s="24"/>
      <c r="C275" s="24"/>
      <c r="D275" s="24"/>
      <c r="E275" s="25"/>
      <c r="F275" s="20"/>
      <c r="G275" s="20"/>
      <c r="H275" s="20"/>
      <c r="I275" s="20"/>
      <c r="J275" s="20"/>
      <c r="K275" s="20"/>
      <c r="L275" s="20"/>
      <c r="M275" s="20"/>
      <c r="N275" s="20"/>
      <c r="O275" s="20"/>
      <c r="P275" s="20"/>
      <c r="Q275" s="20"/>
      <c r="R275" s="20"/>
      <c r="S275" s="20"/>
      <c r="T275" s="20"/>
      <c r="U275" s="20"/>
      <c r="V275" s="20"/>
      <c r="W275" s="20"/>
      <c r="X275" s="20"/>
      <c r="Y275" s="20"/>
      <c r="Z275" s="20"/>
    </row>
    <row r="276" ht="56.25" customHeight="1">
      <c r="A276" s="24"/>
      <c r="B276" s="24"/>
      <c r="C276" s="24"/>
      <c r="D276" s="24"/>
      <c r="E276" s="25"/>
      <c r="F276" s="20"/>
      <c r="G276" s="20"/>
      <c r="H276" s="20"/>
      <c r="I276" s="20"/>
      <c r="J276" s="20"/>
      <c r="K276" s="20"/>
      <c r="L276" s="20"/>
      <c r="M276" s="20"/>
      <c r="N276" s="20"/>
      <c r="O276" s="20"/>
      <c r="P276" s="20"/>
      <c r="Q276" s="20"/>
      <c r="R276" s="20"/>
      <c r="S276" s="20"/>
      <c r="T276" s="20"/>
      <c r="U276" s="20"/>
      <c r="V276" s="20"/>
      <c r="W276" s="20"/>
      <c r="X276" s="20"/>
      <c r="Y276" s="20"/>
      <c r="Z276" s="20"/>
    </row>
    <row r="277" ht="56.25" customHeight="1">
      <c r="A277" s="24"/>
      <c r="B277" s="24"/>
      <c r="C277" s="24"/>
      <c r="D277" s="24"/>
      <c r="E277" s="25"/>
      <c r="F277" s="20"/>
      <c r="G277" s="20"/>
      <c r="H277" s="20"/>
      <c r="I277" s="20"/>
      <c r="J277" s="20"/>
      <c r="K277" s="20"/>
      <c r="L277" s="20"/>
      <c r="M277" s="20"/>
      <c r="N277" s="20"/>
      <c r="O277" s="20"/>
      <c r="P277" s="20"/>
      <c r="Q277" s="20"/>
      <c r="R277" s="20"/>
      <c r="S277" s="20"/>
      <c r="T277" s="20"/>
      <c r="U277" s="20"/>
      <c r="V277" s="20"/>
      <c r="W277" s="20"/>
      <c r="X277" s="20"/>
      <c r="Y277" s="20"/>
      <c r="Z277" s="20"/>
    </row>
    <row r="278" ht="56.25" customHeight="1">
      <c r="A278" s="24"/>
      <c r="B278" s="24"/>
      <c r="C278" s="24"/>
      <c r="D278" s="24"/>
      <c r="E278" s="25"/>
      <c r="F278" s="20"/>
      <c r="G278" s="20"/>
      <c r="H278" s="20"/>
      <c r="I278" s="20"/>
      <c r="J278" s="20"/>
      <c r="K278" s="20"/>
      <c r="L278" s="20"/>
      <c r="M278" s="20"/>
      <c r="N278" s="20"/>
      <c r="O278" s="20"/>
      <c r="P278" s="20"/>
      <c r="Q278" s="20"/>
      <c r="R278" s="20"/>
      <c r="S278" s="20"/>
      <c r="T278" s="20"/>
      <c r="U278" s="20"/>
      <c r="V278" s="20"/>
      <c r="W278" s="20"/>
      <c r="X278" s="20"/>
      <c r="Y278" s="20"/>
      <c r="Z278" s="20"/>
    </row>
    <row r="279" ht="56.25" customHeight="1">
      <c r="A279" s="24"/>
      <c r="B279" s="24"/>
      <c r="C279" s="24"/>
      <c r="D279" s="24"/>
      <c r="E279" s="25"/>
      <c r="F279" s="20"/>
      <c r="G279" s="20"/>
      <c r="H279" s="20"/>
      <c r="I279" s="20"/>
      <c r="J279" s="20"/>
      <c r="K279" s="20"/>
      <c r="L279" s="20"/>
      <c r="M279" s="20"/>
      <c r="N279" s="20"/>
      <c r="O279" s="20"/>
      <c r="P279" s="20"/>
      <c r="Q279" s="20"/>
      <c r="R279" s="20"/>
      <c r="S279" s="20"/>
      <c r="T279" s="20"/>
      <c r="U279" s="20"/>
      <c r="V279" s="20"/>
      <c r="W279" s="20"/>
      <c r="X279" s="20"/>
      <c r="Y279" s="20"/>
      <c r="Z279" s="20"/>
    </row>
    <row r="280" ht="56.25" customHeight="1">
      <c r="A280" s="24"/>
      <c r="B280" s="24"/>
      <c r="C280" s="24"/>
      <c r="D280" s="24"/>
      <c r="E280" s="25"/>
      <c r="F280" s="20"/>
      <c r="G280" s="20"/>
      <c r="H280" s="20"/>
      <c r="I280" s="20"/>
      <c r="J280" s="20"/>
      <c r="K280" s="20"/>
      <c r="L280" s="20"/>
      <c r="M280" s="20"/>
      <c r="N280" s="20"/>
      <c r="O280" s="20"/>
      <c r="P280" s="20"/>
      <c r="Q280" s="20"/>
      <c r="R280" s="20"/>
      <c r="S280" s="20"/>
      <c r="T280" s="20"/>
      <c r="U280" s="20"/>
      <c r="V280" s="20"/>
      <c r="W280" s="20"/>
      <c r="X280" s="20"/>
      <c r="Y280" s="20"/>
      <c r="Z280" s="20"/>
    </row>
    <row r="281" ht="56.25" customHeight="1">
      <c r="A281" s="24"/>
      <c r="B281" s="24"/>
      <c r="C281" s="24"/>
      <c r="D281" s="24"/>
      <c r="E281" s="25"/>
      <c r="F281" s="20"/>
      <c r="G281" s="20"/>
      <c r="H281" s="20"/>
      <c r="I281" s="20"/>
      <c r="J281" s="20"/>
      <c r="K281" s="20"/>
      <c r="L281" s="20"/>
      <c r="M281" s="20"/>
      <c r="N281" s="20"/>
      <c r="O281" s="20"/>
      <c r="P281" s="20"/>
      <c r="Q281" s="20"/>
      <c r="R281" s="20"/>
      <c r="S281" s="20"/>
      <c r="T281" s="20"/>
      <c r="U281" s="20"/>
      <c r="V281" s="20"/>
      <c r="W281" s="20"/>
      <c r="X281" s="20"/>
      <c r="Y281" s="20"/>
      <c r="Z281" s="20"/>
    </row>
    <row r="282" ht="56.25" customHeight="1">
      <c r="A282" s="24"/>
      <c r="B282" s="24"/>
      <c r="C282" s="24"/>
      <c r="D282" s="24"/>
      <c r="E282" s="25"/>
      <c r="F282" s="20"/>
      <c r="G282" s="20"/>
      <c r="H282" s="20"/>
      <c r="I282" s="20"/>
      <c r="J282" s="20"/>
      <c r="K282" s="20"/>
      <c r="L282" s="20"/>
      <c r="M282" s="20"/>
      <c r="N282" s="20"/>
      <c r="O282" s="20"/>
      <c r="P282" s="20"/>
      <c r="Q282" s="20"/>
      <c r="R282" s="20"/>
      <c r="S282" s="20"/>
      <c r="T282" s="20"/>
      <c r="U282" s="20"/>
      <c r="V282" s="20"/>
      <c r="W282" s="20"/>
      <c r="X282" s="20"/>
      <c r="Y282" s="20"/>
      <c r="Z282" s="20"/>
    </row>
    <row r="283" ht="56.25" customHeight="1">
      <c r="A283" s="24"/>
      <c r="B283" s="24"/>
      <c r="C283" s="24"/>
      <c r="D283" s="24"/>
      <c r="E283" s="25"/>
      <c r="F283" s="20"/>
      <c r="G283" s="20"/>
      <c r="H283" s="20"/>
      <c r="I283" s="20"/>
      <c r="J283" s="20"/>
      <c r="K283" s="20"/>
      <c r="L283" s="20"/>
      <c r="M283" s="20"/>
      <c r="N283" s="20"/>
      <c r="O283" s="20"/>
      <c r="P283" s="20"/>
      <c r="Q283" s="20"/>
      <c r="R283" s="20"/>
      <c r="S283" s="20"/>
      <c r="T283" s="20"/>
      <c r="U283" s="20"/>
      <c r="V283" s="20"/>
      <c r="W283" s="20"/>
      <c r="X283" s="20"/>
      <c r="Y283" s="20"/>
      <c r="Z283" s="20"/>
    </row>
    <row r="284" ht="56.25" customHeight="1">
      <c r="A284" s="24"/>
      <c r="B284" s="24"/>
      <c r="C284" s="24"/>
      <c r="D284" s="24"/>
      <c r="E284" s="25"/>
      <c r="F284" s="20"/>
      <c r="G284" s="20"/>
      <c r="H284" s="20"/>
      <c r="I284" s="20"/>
      <c r="J284" s="20"/>
      <c r="K284" s="20"/>
      <c r="L284" s="20"/>
      <c r="M284" s="20"/>
      <c r="N284" s="20"/>
      <c r="O284" s="20"/>
      <c r="P284" s="20"/>
      <c r="Q284" s="20"/>
      <c r="R284" s="20"/>
      <c r="S284" s="20"/>
      <c r="T284" s="20"/>
      <c r="U284" s="20"/>
      <c r="V284" s="20"/>
      <c r="W284" s="20"/>
      <c r="X284" s="20"/>
      <c r="Y284" s="20"/>
      <c r="Z284" s="20"/>
    </row>
    <row r="285" ht="56.25" customHeight="1">
      <c r="A285" s="24"/>
      <c r="B285" s="24"/>
      <c r="C285" s="24"/>
      <c r="D285" s="24"/>
      <c r="E285" s="25"/>
      <c r="F285" s="20"/>
      <c r="G285" s="20"/>
      <c r="H285" s="20"/>
      <c r="I285" s="20"/>
      <c r="J285" s="20"/>
      <c r="K285" s="20"/>
      <c r="L285" s="20"/>
      <c r="M285" s="20"/>
      <c r="N285" s="20"/>
      <c r="O285" s="20"/>
      <c r="P285" s="20"/>
      <c r="Q285" s="20"/>
      <c r="R285" s="20"/>
      <c r="S285" s="20"/>
      <c r="T285" s="20"/>
      <c r="U285" s="20"/>
      <c r="V285" s="20"/>
      <c r="W285" s="20"/>
      <c r="X285" s="20"/>
      <c r="Y285" s="20"/>
      <c r="Z285" s="20"/>
    </row>
    <row r="286" ht="56.25" customHeight="1">
      <c r="A286" s="24"/>
      <c r="B286" s="24"/>
      <c r="C286" s="24"/>
      <c r="D286" s="24"/>
      <c r="E286" s="25"/>
      <c r="F286" s="20"/>
      <c r="G286" s="20"/>
      <c r="H286" s="20"/>
      <c r="I286" s="20"/>
      <c r="J286" s="20"/>
      <c r="K286" s="20"/>
      <c r="L286" s="20"/>
      <c r="M286" s="20"/>
      <c r="N286" s="20"/>
      <c r="O286" s="20"/>
      <c r="P286" s="20"/>
      <c r="Q286" s="20"/>
      <c r="R286" s="20"/>
      <c r="S286" s="20"/>
      <c r="T286" s="20"/>
      <c r="U286" s="20"/>
      <c r="V286" s="20"/>
      <c r="W286" s="20"/>
      <c r="X286" s="20"/>
      <c r="Y286" s="20"/>
      <c r="Z286" s="20"/>
    </row>
    <row r="287" ht="56.25" customHeight="1">
      <c r="A287" s="24"/>
      <c r="B287" s="24"/>
      <c r="C287" s="24"/>
      <c r="D287" s="24"/>
      <c r="E287" s="25"/>
      <c r="F287" s="20"/>
      <c r="G287" s="20"/>
      <c r="H287" s="20"/>
      <c r="I287" s="20"/>
      <c r="J287" s="20"/>
      <c r="K287" s="20"/>
      <c r="L287" s="20"/>
      <c r="M287" s="20"/>
      <c r="N287" s="20"/>
      <c r="O287" s="20"/>
      <c r="P287" s="20"/>
      <c r="Q287" s="20"/>
      <c r="R287" s="20"/>
      <c r="S287" s="20"/>
      <c r="T287" s="20"/>
      <c r="U287" s="20"/>
      <c r="V287" s="20"/>
      <c r="W287" s="20"/>
      <c r="X287" s="20"/>
      <c r="Y287" s="20"/>
      <c r="Z287" s="20"/>
    </row>
    <row r="288" ht="56.25" customHeight="1">
      <c r="A288" s="24"/>
      <c r="B288" s="24"/>
      <c r="C288" s="24"/>
      <c r="D288" s="24"/>
      <c r="E288" s="25"/>
      <c r="F288" s="20"/>
      <c r="G288" s="20"/>
      <c r="H288" s="20"/>
      <c r="I288" s="20"/>
      <c r="J288" s="20"/>
      <c r="K288" s="20"/>
      <c r="L288" s="20"/>
      <c r="M288" s="20"/>
      <c r="N288" s="20"/>
      <c r="O288" s="20"/>
      <c r="P288" s="20"/>
      <c r="Q288" s="20"/>
      <c r="R288" s="20"/>
      <c r="S288" s="20"/>
      <c r="T288" s="20"/>
      <c r="U288" s="20"/>
      <c r="V288" s="20"/>
      <c r="W288" s="20"/>
      <c r="X288" s="20"/>
      <c r="Y288" s="20"/>
      <c r="Z288" s="20"/>
    </row>
    <row r="289" ht="56.25" customHeight="1">
      <c r="A289" s="24"/>
      <c r="B289" s="24"/>
      <c r="C289" s="24"/>
      <c r="D289" s="24"/>
      <c r="E289" s="25"/>
      <c r="F289" s="20"/>
      <c r="G289" s="20"/>
      <c r="H289" s="20"/>
      <c r="I289" s="20"/>
      <c r="J289" s="20"/>
      <c r="K289" s="20"/>
      <c r="L289" s="20"/>
      <c r="M289" s="20"/>
      <c r="N289" s="20"/>
      <c r="O289" s="20"/>
      <c r="P289" s="20"/>
      <c r="Q289" s="20"/>
      <c r="R289" s="20"/>
      <c r="S289" s="20"/>
      <c r="T289" s="20"/>
      <c r="U289" s="20"/>
      <c r="V289" s="20"/>
      <c r="W289" s="20"/>
      <c r="X289" s="20"/>
      <c r="Y289" s="20"/>
      <c r="Z289" s="20"/>
    </row>
    <row r="290" ht="56.25" customHeight="1">
      <c r="A290" s="24"/>
      <c r="B290" s="24"/>
      <c r="C290" s="24"/>
      <c r="D290" s="24"/>
      <c r="E290" s="25"/>
      <c r="F290" s="20"/>
      <c r="G290" s="20"/>
      <c r="H290" s="20"/>
      <c r="I290" s="20"/>
      <c r="J290" s="20"/>
      <c r="K290" s="20"/>
      <c r="L290" s="20"/>
      <c r="M290" s="20"/>
      <c r="N290" s="20"/>
      <c r="O290" s="20"/>
      <c r="P290" s="20"/>
      <c r="Q290" s="20"/>
      <c r="R290" s="20"/>
      <c r="S290" s="20"/>
      <c r="T290" s="20"/>
      <c r="U290" s="20"/>
      <c r="V290" s="20"/>
      <c r="W290" s="20"/>
      <c r="X290" s="20"/>
      <c r="Y290" s="20"/>
      <c r="Z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7.5"/>
    <col customWidth="1" min="2" max="2" width="15.75"/>
    <col customWidth="1" min="3" max="3" width="30.63"/>
    <col customWidth="1" min="4" max="4" width="45.63"/>
    <col customWidth="1" min="5" max="5" width="14.0"/>
    <col customWidth="1" min="6" max="6" width="12.63"/>
  </cols>
  <sheetData>
    <row r="1" ht="56.25" customHeight="1">
      <c r="A1" s="19" t="s">
        <v>705</v>
      </c>
      <c r="B1" s="19" t="s">
        <v>706</v>
      </c>
      <c r="C1" s="19" t="s">
        <v>707</v>
      </c>
      <c r="D1" s="19" t="s">
        <v>708</v>
      </c>
      <c r="E1" s="19" t="s">
        <v>18</v>
      </c>
      <c r="F1" s="20"/>
      <c r="G1" s="20"/>
      <c r="H1" s="20"/>
      <c r="I1" s="20"/>
      <c r="J1" s="20"/>
      <c r="K1" s="20"/>
      <c r="L1" s="20"/>
      <c r="M1" s="20"/>
      <c r="N1" s="20"/>
      <c r="O1" s="20"/>
      <c r="P1" s="20"/>
      <c r="Q1" s="20"/>
      <c r="R1" s="20"/>
      <c r="S1" s="20"/>
      <c r="T1" s="20"/>
      <c r="U1" s="20"/>
      <c r="V1" s="20"/>
      <c r="W1" s="20"/>
      <c r="X1" s="20"/>
      <c r="Y1" s="20"/>
      <c r="Z1" s="20"/>
    </row>
    <row r="2" ht="56.25" customHeight="1">
      <c r="A2" s="26">
        <v>1.0</v>
      </c>
      <c r="B2" s="21" t="s">
        <v>1</v>
      </c>
      <c r="C2" s="22">
        <v>4.7050019E7</v>
      </c>
      <c r="D2" s="21" t="str">
        <f>VLOOKUP(C2,'PL NO.'!$B$3:$Q$374,4,0)</f>
        <v>3HP, 4P, 100L, 72RPM RIGHT ANGLED FOOT MOUNTED IEC GEARED MOTOR</v>
      </c>
      <c r="E2" s="22">
        <v>5.0</v>
      </c>
      <c r="F2" s="20"/>
      <c r="G2" s="20"/>
      <c r="H2" s="20"/>
      <c r="I2" s="20"/>
      <c r="J2" s="20"/>
      <c r="K2" s="20"/>
      <c r="L2" s="20"/>
      <c r="M2" s="20"/>
      <c r="N2" s="20"/>
      <c r="O2" s="20"/>
      <c r="P2" s="20"/>
      <c r="Q2" s="20"/>
      <c r="R2" s="20"/>
      <c r="S2" s="20"/>
      <c r="T2" s="20"/>
      <c r="U2" s="20"/>
      <c r="V2" s="20"/>
      <c r="W2" s="20"/>
      <c r="X2" s="20"/>
      <c r="Y2" s="20"/>
      <c r="Z2" s="20"/>
    </row>
    <row r="3" ht="56.25" customHeight="1">
      <c r="A3" s="26">
        <v>2.0</v>
      </c>
      <c r="B3" s="21" t="s">
        <v>709</v>
      </c>
      <c r="C3" s="22">
        <v>4.2113234E7</v>
      </c>
      <c r="D3" s="21" t="str">
        <f>VLOOKUP(C3,'PL NO.'!$B$3:$Q$374,4,0)</f>
        <v>PIGMY LAMPS 15W 230V AC</v>
      </c>
      <c r="E3" s="22">
        <v>2.0</v>
      </c>
      <c r="F3" s="20"/>
      <c r="G3" s="20"/>
      <c r="H3" s="20"/>
      <c r="I3" s="20"/>
      <c r="J3" s="20"/>
      <c r="K3" s="20"/>
      <c r="L3" s="20"/>
      <c r="M3" s="20"/>
      <c r="N3" s="20"/>
      <c r="O3" s="20"/>
      <c r="P3" s="20"/>
      <c r="Q3" s="20"/>
      <c r="R3" s="20"/>
      <c r="S3" s="20"/>
      <c r="T3" s="20"/>
      <c r="U3" s="20"/>
      <c r="V3" s="20"/>
      <c r="W3" s="20"/>
      <c r="X3" s="20"/>
      <c r="Y3" s="20"/>
      <c r="Z3" s="20"/>
    </row>
    <row r="4" ht="56.25" customHeight="1">
      <c r="A4" s="26">
        <v>3.0</v>
      </c>
      <c r="B4" s="21" t="s">
        <v>0</v>
      </c>
      <c r="C4" s="22">
        <v>4.6150079E7</v>
      </c>
      <c r="D4" s="21" t="str">
        <f>VLOOKUP(C4,'PL NO.'!$B$3:$Q$374,4,0)</f>
        <v>12KV, 26.3K/3SEC, 1250A, VCB OF SIEMENS MAKE TYPE: 3AHO</v>
      </c>
      <c r="E4" s="22">
        <v>2.0</v>
      </c>
      <c r="F4" s="20"/>
      <c r="G4" s="20"/>
      <c r="H4" s="20"/>
      <c r="I4" s="20"/>
      <c r="J4" s="20"/>
      <c r="K4" s="20"/>
      <c r="L4" s="20"/>
      <c r="M4" s="20"/>
      <c r="N4" s="20"/>
      <c r="O4" s="20"/>
      <c r="P4" s="20"/>
      <c r="Q4" s="20"/>
      <c r="R4" s="20"/>
      <c r="S4" s="20"/>
      <c r="T4" s="20"/>
      <c r="U4" s="20"/>
      <c r="V4" s="20"/>
      <c r="W4" s="20"/>
      <c r="X4" s="20"/>
      <c r="Y4" s="20"/>
      <c r="Z4" s="20"/>
    </row>
    <row r="5" ht="56.25" customHeight="1">
      <c r="A5" s="26">
        <v>4.0</v>
      </c>
      <c r="B5" s="21" t="s">
        <v>0</v>
      </c>
      <c r="C5" s="22">
        <v>4.7241573E7</v>
      </c>
      <c r="D5" s="21" t="str">
        <f>VLOOKUP(C5,'PL NO.'!$B$3:$Q$374,4,0)</f>
        <v>JOYSTIC CONTROLLER</v>
      </c>
      <c r="E5" s="22">
        <v>3.0</v>
      </c>
      <c r="F5" s="20"/>
      <c r="G5" s="20"/>
      <c r="H5" s="20"/>
      <c r="I5" s="20"/>
      <c r="J5" s="20"/>
      <c r="K5" s="20"/>
      <c r="L5" s="20"/>
      <c r="M5" s="20"/>
      <c r="N5" s="20"/>
      <c r="O5" s="20"/>
      <c r="P5" s="20"/>
      <c r="Q5" s="20"/>
      <c r="R5" s="20"/>
      <c r="S5" s="20"/>
      <c r="T5" s="20"/>
      <c r="U5" s="20"/>
      <c r="V5" s="20"/>
      <c r="W5" s="20"/>
      <c r="X5" s="20"/>
      <c r="Y5" s="20"/>
      <c r="Z5" s="20"/>
    </row>
    <row r="6" ht="56.25" customHeight="1">
      <c r="A6" s="26">
        <v>5.0</v>
      </c>
      <c r="B6" s="21" t="s">
        <v>0</v>
      </c>
      <c r="C6" s="22">
        <v>4.7050214E7</v>
      </c>
      <c r="D6" s="21" t="str">
        <f>VLOOKUP(C6,'PL NO.'!$B$3:$Q$374,4,0)</f>
        <v>2HP, 4P, 90L, FLANGE MOUNTED SQ CAGE INDUCTION MOTOR WITH BRAKE</v>
      </c>
      <c r="E6" s="22">
        <v>1.0</v>
      </c>
      <c r="F6" s="20"/>
      <c r="G6" s="20"/>
      <c r="H6" s="20"/>
      <c r="I6" s="20"/>
      <c r="J6" s="20"/>
      <c r="K6" s="20"/>
      <c r="L6" s="20"/>
      <c r="M6" s="20"/>
      <c r="N6" s="20"/>
      <c r="O6" s="20"/>
      <c r="P6" s="20"/>
      <c r="Q6" s="20"/>
      <c r="R6" s="20"/>
      <c r="S6" s="20"/>
      <c r="T6" s="20"/>
      <c r="U6" s="20"/>
      <c r="V6" s="20"/>
      <c r="W6" s="20"/>
      <c r="X6" s="20"/>
      <c r="Y6" s="20"/>
      <c r="Z6" s="20"/>
    </row>
    <row r="7" ht="56.25" customHeight="1">
      <c r="A7" s="26">
        <v>6.0</v>
      </c>
      <c r="B7" s="21" t="s">
        <v>0</v>
      </c>
      <c r="C7" s="22">
        <v>4.7050676E7</v>
      </c>
      <c r="D7" s="21" t="str">
        <f>VLOOKUP(C7,'PL NO.'!$B$3:$Q$374,4,0)</f>
        <v>5HP, 6P, 132S, FOOT MOUNTED SQ CAGE INDUCTION MOTOR</v>
      </c>
      <c r="E7" s="22">
        <v>2.0</v>
      </c>
      <c r="F7" s="20"/>
      <c r="G7" s="20"/>
      <c r="H7" s="20"/>
      <c r="I7" s="20"/>
      <c r="J7" s="20"/>
      <c r="K7" s="20"/>
      <c r="L7" s="20"/>
      <c r="M7" s="20"/>
      <c r="N7" s="20"/>
      <c r="O7" s="20"/>
      <c r="P7" s="20"/>
      <c r="Q7" s="20"/>
      <c r="R7" s="20"/>
      <c r="S7" s="20"/>
      <c r="T7" s="20"/>
      <c r="U7" s="20"/>
      <c r="V7" s="20"/>
      <c r="W7" s="20"/>
      <c r="X7" s="20"/>
      <c r="Y7" s="20"/>
      <c r="Z7" s="20"/>
    </row>
    <row r="8" ht="56.25" customHeight="1">
      <c r="A8" s="26">
        <v>7.0</v>
      </c>
      <c r="B8" s="21" t="s">
        <v>712</v>
      </c>
      <c r="C8" s="22">
        <v>8.3057262E7</v>
      </c>
      <c r="D8" s="21" t="str">
        <f>VLOOKUP(C8,'PL NO.'!$B$3:$Q$374,4,0)</f>
        <v>FILE COVERS CARD BOARD THIN</v>
      </c>
      <c r="E8" s="22">
        <v>50.0</v>
      </c>
      <c r="F8" s="20"/>
      <c r="G8" s="20"/>
      <c r="H8" s="20"/>
      <c r="I8" s="20"/>
      <c r="J8" s="20"/>
      <c r="K8" s="20"/>
      <c r="L8" s="20"/>
      <c r="M8" s="20"/>
      <c r="N8" s="20"/>
      <c r="O8" s="20"/>
      <c r="P8" s="20"/>
      <c r="Q8" s="20"/>
      <c r="R8" s="20"/>
      <c r="S8" s="20"/>
      <c r="T8" s="20"/>
      <c r="U8" s="20"/>
      <c r="V8" s="20"/>
      <c r="W8" s="20"/>
      <c r="X8" s="20"/>
      <c r="Y8" s="20"/>
      <c r="Z8" s="20"/>
    </row>
    <row r="9" ht="56.25" customHeight="1">
      <c r="A9" s="26">
        <v>8.0</v>
      </c>
      <c r="B9" s="21" t="s">
        <v>1</v>
      </c>
      <c r="C9" s="22">
        <v>4.6120324E7</v>
      </c>
      <c r="D9" s="21" t="str">
        <f>VLOOKUP(C9,'PL NO.'!$B$3:$Q$374,4,0)</f>
        <v>COPPER BUS BAR FOR SPRUE WASH</v>
      </c>
      <c r="E9" s="22">
        <v>13.0</v>
      </c>
      <c r="F9" s="20"/>
      <c r="G9" s="20"/>
      <c r="H9" s="20"/>
      <c r="I9" s="20"/>
      <c r="J9" s="20"/>
      <c r="K9" s="20"/>
      <c r="L9" s="20"/>
      <c r="M9" s="20"/>
      <c r="N9" s="20"/>
      <c r="O9" s="20"/>
      <c r="P9" s="20"/>
      <c r="Q9" s="20"/>
      <c r="R9" s="20"/>
      <c r="S9" s="20"/>
      <c r="T9" s="20"/>
      <c r="U9" s="20"/>
      <c r="V9" s="20"/>
      <c r="W9" s="20"/>
      <c r="X9" s="20"/>
      <c r="Y9" s="20"/>
      <c r="Z9" s="20"/>
    </row>
    <row r="10" ht="56.25" customHeight="1">
      <c r="A10" s="26">
        <v>9.0</v>
      </c>
      <c r="B10" s="21" t="s">
        <v>1</v>
      </c>
      <c r="C10" s="22">
        <v>4.1011466E7</v>
      </c>
      <c r="D10" s="21" t="str">
        <f>VLOOKUP(C10,'PL NO.'!$B$3:$Q$374,4,0)</f>
        <v>GLASS EPOXY SHEET</v>
      </c>
      <c r="E10" s="22">
        <v>50.0</v>
      </c>
      <c r="F10" s="20"/>
      <c r="G10" s="20"/>
      <c r="H10" s="20"/>
      <c r="I10" s="20"/>
      <c r="J10" s="20"/>
      <c r="K10" s="20"/>
      <c r="L10" s="20"/>
      <c r="M10" s="20"/>
      <c r="N10" s="20"/>
      <c r="O10" s="20"/>
      <c r="P10" s="20"/>
      <c r="Q10" s="20"/>
      <c r="R10" s="20"/>
      <c r="S10" s="20"/>
      <c r="T10" s="20"/>
      <c r="U10" s="20"/>
      <c r="V10" s="20"/>
      <c r="W10" s="20"/>
      <c r="X10" s="20"/>
      <c r="Y10" s="20"/>
      <c r="Z10" s="20"/>
    </row>
    <row r="11" ht="56.25" customHeight="1">
      <c r="A11" s="26">
        <v>10.0</v>
      </c>
      <c r="B11" s="21" t="s">
        <v>1</v>
      </c>
      <c r="C11" s="22">
        <v>4.7380056E7</v>
      </c>
      <c r="D11" s="21" t="str">
        <f>VLOOKUP(C11,'PL NO.'!$B$3:$Q$374,4,0)</f>
        <v>TUBE HOLDING OVEN HEATING ELEMENT</v>
      </c>
      <c r="E11" s="22">
        <v>6.0</v>
      </c>
      <c r="F11" s="20"/>
      <c r="G11" s="20"/>
      <c r="H11" s="20"/>
      <c r="I11" s="20"/>
      <c r="J11" s="20"/>
      <c r="K11" s="20"/>
      <c r="L11" s="20"/>
      <c r="M11" s="20"/>
      <c r="N11" s="20"/>
      <c r="O11" s="20"/>
      <c r="P11" s="20"/>
      <c r="Q11" s="20"/>
      <c r="R11" s="20"/>
      <c r="S11" s="20"/>
      <c r="T11" s="20"/>
      <c r="U11" s="20"/>
      <c r="V11" s="20"/>
      <c r="W11" s="20"/>
      <c r="X11" s="20"/>
      <c r="Y11" s="20"/>
      <c r="Z11" s="20"/>
    </row>
    <row r="12" ht="56.25" customHeight="1">
      <c r="A12" s="26">
        <v>11.0</v>
      </c>
      <c r="B12" s="21" t="s">
        <v>1</v>
      </c>
      <c r="C12" s="22">
        <v>4.7241512E7</v>
      </c>
      <c r="D12" s="21" t="str">
        <f>VLOOKUP(C12,'PL NO.'!$B$3:$Q$374,4,0)</f>
        <v>MPCB, RATED CURRENT 6A, CURRENT SETTING 4- 6A</v>
      </c>
      <c r="E12" s="22">
        <v>10.0</v>
      </c>
      <c r="F12" s="20"/>
      <c r="G12" s="20"/>
      <c r="H12" s="20"/>
      <c r="I12" s="20"/>
      <c r="J12" s="20"/>
      <c r="K12" s="20"/>
      <c r="L12" s="20"/>
      <c r="M12" s="20"/>
      <c r="N12" s="20"/>
      <c r="O12" s="20"/>
      <c r="P12" s="20"/>
      <c r="Q12" s="20"/>
      <c r="R12" s="20"/>
      <c r="S12" s="20"/>
      <c r="T12" s="20"/>
      <c r="U12" s="20"/>
      <c r="V12" s="20"/>
      <c r="W12" s="20"/>
      <c r="X12" s="20"/>
      <c r="Y12" s="20"/>
      <c r="Z12" s="20"/>
    </row>
    <row r="13" ht="56.25" customHeight="1">
      <c r="A13" s="26">
        <v>12.0</v>
      </c>
      <c r="B13" s="21" t="s">
        <v>1</v>
      </c>
      <c r="C13" s="22">
        <v>4.5219138E7</v>
      </c>
      <c r="D13" s="21" t="str">
        <f>VLOOKUP(C13,'PL NO.'!$B$3:$Q$374,4,0)</f>
        <v>POWER CONTACTOR, 16A, 110V AC</v>
      </c>
      <c r="E13" s="22">
        <v>10.0</v>
      </c>
      <c r="F13" s="20"/>
      <c r="G13" s="20"/>
      <c r="H13" s="20"/>
      <c r="I13" s="20"/>
      <c r="J13" s="20"/>
      <c r="K13" s="20"/>
      <c r="L13" s="20"/>
      <c r="M13" s="20"/>
      <c r="N13" s="20"/>
      <c r="O13" s="20"/>
      <c r="P13" s="20"/>
      <c r="Q13" s="20"/>
      <c r="R13" s="20"/>
      <c r="S13" s="20"/>
      <c r="T13" s="20"/>
      <c r="U13" s="20"/>
      <c r="V13" s="20"/>
      <c r="W13" s="20"/>
      <c r="X13" s="20"/>
      <c r="Y13" s="20"/>
      <c r="Z13" s="20"/>
    </row>
    <row r="14" ht="56.25" customHeight="1">
      <c r="A14" s="26">
        <v>13.0</v>
      </c>
      <c r="B14" s="21" t="s">
        <v>1</v>
      </c>
      <c r="C14" s="22">
        <v>4.7050081E7</v>
      </c>
      <c r="D14" s="21" t="str">
        <f>VLOOKUP(C14,'PL NO.'!$B$3:$Q$374,4,0)</f>
        <v>10HP, 4P, 132M FOOT CUM FLANGE MOUNTED SQ CAGE INDUCTION MOTOR</v>
      </c>
      <c r="E14" s="22">
        <v>1.0</v>
      </c>
      <c r="F14" s="20"/>
      <c r="G14" s="20"/>
      <c r="H14" s="20"/>
      <c r="I14" s="20"/>
      <c r="J14" s="20"/>
      <c r="K14" s="20"/>
      <c r="L14" s="20"/>
      <c r="M14" s="20"/>
      <c r="N14" s="20"/>
      <c r="O14" s="20"/>
      <c r="P14" s="20"/>
      <c r="Q14" s="20"/>
      <c r="R14" s="20"/>
      <c r="S14" s="20"/>
      <c r="T14" s="20"/>
      <c r="U14" s="20"/>
      <c r="V14" s="20"/>
      <c r="W14" s="20"/>
      <c r="X14" s="20"/>
      <c r="Y14" s="20"/>
      <c r="Z14" s="20"/>
    </row>
    <row r="15" ht="56.25" customHeight="1">
      <c r="A15" s="26">
        <v>14.0</v>
      </c>
      <c r="B15" s="21" t="s">
        <v>1</v>
      </c>
      <c r="C15" s="22">
        <v>4.1077763E7</v>
      </c>
      <c r="D15" s="21" t="str">
        <f>VLOOKUP(C15,'PL NO.'!$B$3:$Q$374,4,0)</f>
        <v>PRESSURE SENSITIVE ADHESIVE PVC TAPES BLUE COLOUR</v>
      </c>
      <c r="E15" s="22">
        <v>400.0</v>
      </c>
      <c r="F15" s="20"/>
      <c r="G15" s="20"/>
      <c r="H15" s="20"/>
      <c r="I15" s="20"/>
      <c r="J15" s="20"/>
      <c r="K15" s="20"/>
      <c r="L15" s="20"/>
      <c r="M15" s="20"/>
      <c r="N15" s="20"/>
      <c r="O15" s="20"/>
      <c r="P15" s="20"/>
      <c r="Q15" s="20"/>
      <c r="R15" s="20"/>
      <c r="S15" s="20"/>
      <c r="T15" s="20"/>
      <c r="U15" s="20"/>
      <c r="V15" s="20"/>
      <c r="W15" s="20"/>
      <c r="X15" s="20"/>
      <c r="Y15" s="20"/>
      <c r="Z15" s="20"/>
    </row>
    <row r="16" ht="56.25" customHeight="1">
      <c r="A16" s="26">
        <v>15.0</v>
      </c>
      <c r="B16" s="21" t="s">
        <v>0</v>
      </c>
      <c r="C16" s="22">
        <v>4.2029387E7</v>
      </c>
      <c r="D16" s="21" t="str">
        <f>VLOOKUP(C16,'PL NO.'!$B$3:$Q$374,4,0)</f>
        <v>MCCB, RATED CURRENT 100A</v>
      </c>
      <c r="E16" s="22">
        <v>5.0</v>
      </c>
      <c r="F16" s="20"/>
      <c r="G16" s="20"/>
      <c r="H16" s="20"/>
      <c r="I16" s="20"/>
      <c r="J16" s="20"/>
      <c r="K16" s="20"/>
      <c r="L16" s="20"/>
      <c r="M16" s="20"/>
      <c r="N16" s="20"/>
      <c r="O16" s="20"/>
      <c r="P16" s="20"/>
      <c r="Q16" s="20"/>
      <c r="R16" s="20"/>
      <c r="S16" s="20"/>
      <c r="T16" s="20"/>
      <c r="U16" s="20"/>
      <c r="V16" s="20"/>
      <c r="W16" s="20"/>
      <c r="X16" s="20"/>
      <c r="Y16" s="20"/>
      <c r="Z16" s="20"/>
    </row>
    <row r="17" ht="56.25" customHeight="1">
      <c r="A17" s="26">
        <v>16.0</v>
      </c>
      <c r="B17" s="21" t="s">
        <v>0</v>
      </c>
      <c r="C17" s="22">
        <v>4.7050317E7</v>
      </c>
      <c r="D17" s="21" t="str">
        <f>VLOOKUP(C17,'PL NO.'!$B$3:$Q$374,4,0)</f>
        <v>AC DRIVE 3.7KW/5HP</v>
      </c>
      <c r="E17" s="22">
        <v>1.0</v>
      </c>
      <c r="F17" s="20"/>
      <c r="G17" s="20"/>
      <c r="H17" s="20"/>
      <c r="I17" s="20"/>
      <c r="J17" s="20"/>
      <c r="K17" s="20"/>
      <c r="L17" s="20"/>
      <c r="M17" s="20"/>
      <c r="N17" s="20"/>
      <c r="O17" s="20"/>
      <c r="P17" s="20"/>
      <c r="Q17" s="20"/>
      <c r="R17" s="20"/>
      <c r="S17" s="20"/>
      <c r="T17" s="20"/>
      <c r="U17" s="20"/>
      <c r="V17" s="20"/>
      <c r="W17" s="20"/>
      <c r="X17" s="20"/>
      <c r="Y17" s="20"/>
      <c r="Z17" s="20"/>
    </row>
    <row r="18" ht="56.25" customHeight="1">
      <c r="A18" s="26">
        <v>17.0</v>
      </c>
      <c r="B18" s="21" t="s">
        <v>0</v>
      </c>
      <c r="C18" s="22">
        <v>4.7360021E7</v>
      </c>
      <c r="D18" s="21" t="str">
        <f>VLOOKUP(C18,'PL NO.'!$B$3:$Q$374,4,0)</f>
        <v>AC DRIVE 22KW/30HP</v>
      </c>
      <c r="E18" s="22">
        <v>1.0</v>
      </c>
      <c r="F18" s="20"/>
      <c r="G18" s="20"/>
      <c r="H18" s="20"/>
      <c r="I18" s="20"/>
      <c r="J18" s="20"/>
      <c r="K18" s="20"/>
      <c r="L18" s="20"/>
      <c r="M18" s="20"/>
      <c r="N18" s="20"/>
      <c r="O18" s="20"/>
      <c r="P18" s="20"/>
      <c r="Q18" s="20"/>
      <c r="R18" s="20"/>
      <c r="S18" s="20"/>
      <c r="T18" s="20"/>
      <c r="U18" s="20"/>
      <c r="V18" s="20"/>
      <c r="W18" s="20"/>
      <c r="X18" s="20"/>
      <c r="Y18" s="20"/>
      <c r="Z18" s="20"/>
    </row>
    <row r="19" ht="56.25" customHeight="1">
      <c r="A19" s="26">
        <v>18.0</v>
      </c>
      <c r="B19" s="21" t="s">
        <v>0</v>
      </c>
      <c r="C19" s="22">
        <v>4.7360471E7</v>
      </c>
      <c r="D19" s="21" t="str">
        <f>VLOOKUP(C19,'PL NO.'!$B$3:$Q$374,4,0)</f>
        <v>AC DRIVE 15KW/20HP</v>
      </c>
      <c r="E19" s="22">
        <v>1.0</v>
      </c>
      <c r="F19" s="20"/>
      <c r="G19" s="20"/>
      <c r="H19" s="20"/>
      <c r="I19" s="20"/>
      <c r="J19" s="20"/>
      <c r="K19" s="20"/>
      <c r="L19" s="20"/>
      <c r="M19" s="20"/>
      <c r="N19" s="20"/>
      <c r="O19" s="20"/>
      <c r="P19" s="20"/>
      <c r="Q19" s="20"/>
      <c r="R19" s="20"/>
      <c r="S19" s="20"/>
      <c r="T19" s="20"/>
      <c r="U19" s="20"/>
      <c r="V19" s="20"/>
      <c r="W19" s="20"/>
      <c r="X19" s="20"/>
      <c r="Y19" s="20"/>
      <c r="Z19" s="20"/>
    </row>
    <row r="20" ht="56.25" customHeight="1">
      <c r="A20" s="26">
        <v>19.0</v>
      </c>
      <c r="B20" s="21" t="s">
        <v>0</v>
      </c>
      <c r="C20" s="22">
        <v>4.736001E7</v>
      </c>
      <c r="D20" s="21" t="str">
        <f>VLOOKUP(C20,'PL NO.'!$B$3:$Q$374,4,0)</f>
        <v>AC DRIVE 7.5KW/10HP</v>
      </c>
      <c r="E20" s="22">
        <v>1.0</v>
      </c>
      <c r="F20" s="20"/>
      <c r="G20" s="20"/>
      <c r="H20" s="20"/>
      <c r="I20" s="20"/>
      <c r="J20" s="20"/>
      <c r="K20" s="20"/>
      <c r="L20" s="20"/>
      <c r="M20" s="20"/>
      <c r="N20" s="20"/>
      <c r="O20" s="20"/>
      <c r="P20" s="20"/>
      <c r="Q20" s="20"/>
      <c r="R20" s="20"/>
      <c r="S20" s="20"/>
      <c r="T20" s="20"/>
      <c r="U20" s="20"/>
      <c r="V20" s="20"/>
      <c r="W20" s="20"/>
      <c r="X20" s="20"/>
      <c r="Y20" s="20"/>
      <c r="Z20" s="20"/>
    </row>
    <row r="21" ht="56.25" customHeight="1">
      <c r="A21" s="26">
        <v>20.0</v>
      </c>
      <c r="B21" s="21" t="s">
        <v>0</v>
      </c>
      <c r="C21" s="22">
        <v>4.0078188E7</v>
      </c>
      <c r="D21" s="21" t="str">
        <f>VLOOKUP(C21,'PL NO.'!$B$3:$Q$374,4,0)</f>
        <v>COPPER CABLE, 1.5SQ.MM, 2 CORE</v>
      </c>
      <c r="E21" s="22">
        <v>200.0</v>
      </c>
      <c r="F21" s="20"/>
      <c r="G21" s="20"/>
      <c r="H21" s="20"/>
      <c r="I21" s="20"/>
      <c r="J21" s="20"/>
      <c r="K21" s="20"/>
      <c r="L21" s="20"/>
      <c r="M21" s="20"/>
      <c r="N21" s="20"/>
      <c r="O21" s="20"/>
      <c r="P21" s="20"/>
      <c r="Q21" s="20"/>
      <c r="R21" s="20"/>
      <c r="S21" s="20"/>
      <c r="T21" s="20"/>
      <c r="U21" s="20"/>
      <c r="V21" s="20"/>
      <c r="W21" s="20"/>
      <c r="X21" s="20"/>
      <c r="Y21" s="20"/>
      <c r="Z21" s="20"/>
    </row>
    <row r="22" ht="56.25" customHeight="1">
      <c r="A22" s="26">
        <v>21.0</v>
      </c>
      <c r="B22" s="21" t="s">
        <v>0</v>
      </c>
      <c r="C22" s="22">
        <v>4.2113234E7</v>
      </c>
      <c r="D22" s="21" t="str">
        <f>VLOOKUP(C22,'PL NO.'!$B$3:$Q$374,4,0)</f>
        <v>PIGMY LAMPS 15W 230V AC</v>
      </c>
      <c r="E22" s="22">
        <v>20.0</v>
      </c>
      <c r="F22" s="20"/>
      <c r="G22" s="20"/>
      <c r="H22" s="20"/>
      <c r="I22" s="20"/>
      <c r="J22" s="20"/>
      <c r="K22" s="20"/>
      <c r="L22" s="20"/>
      <c r="M22" s="20"/>
      <c r="N22" s="20"/>
      <c r="O22" s="20"/>
      <c r="P22" s="20"/>
      <c r="Q22" s="20"/>
      <c r="R22" s="20"/>
      <c r="S22" s="20"/>
      <c r="T22" s="20"/>
      <c r="U22" s="20"/>
      <c r="V22" s="20"/>
      <c r="W22" s="20"/>
      <c r="X22" s="20"/>
      <c r="Y22" s="20"/>
      <c r="Z22" s="20"/>
    </row>
    <row r="23" ht="56.25" customHeight="1">
      <c r="A23" s="26">
        <v>22.0</v>
      </c>
      <c r="B23" s="21" t="s">
        <v>0</v>
      </c>
      <c r="C23" s="22">
        <v>4.211951E7</v>
      </c>
      <c r="D23" s="21" t="str">
        <f>VLOOKUP(C23,'PL NO.'!$B$3:$Q$374,4,0)</f>
        <v>10 WATT LED TUBE LIGHT</v>
      </c>
      <c r="E23" s="22">
        <v>50.0</v>
      </c>
      <c r="F23" s="20"/>
      <c r="G23" s="20"/>
      <c r="H23" s="20"/>
      <c r="I23" s="20"/>
      <c r="J23" s="20"/>
      <c r="K23" s="20"/>
      <c r="L23" s="20"/>
      <c r="M23" s="20"/>
      <c r="N23" s="20"/>
      <c r="O23" s="20"/>
      <c r="P23" s="20"/>
      <c r="Q23" s="20"/>
      <c r="R23" s="20"/>
      <c r="S23" s="20"/>
      <c r="T23" s="20"/>
      <c r="U23" s="20"/>
      <c r="V23" s="20"/>
      <c r="W23" s="20"/>
      <c r="X23" s="20"/>
      <c r="Y23" s="20"/>
      <c r="Z23" s="20"/>
    </row>
    <row r="24" ht="56.25" customHeight="1">
      <c r="A24" s="26">
        <v>23.0</v>
      </c>
      <c r="B24" s="21" t="s">
        <v>0</v>
      </c>
      <c r="C24" s="22">
        <v>4.2110099E7</v>
      </c>
      <c r="D24" s="21" t="str">
        <f>VLOOKUP(C24,'PL NO.'!$B$3:$Q$374,4,0)</f>
        <v>20 WATT LED TUBE LIGHT</v>
      </c>
      <c r="E24" s="22">
        <v>40.0</v>
      </c>
      <c r="F24" s="20"/>
      <c r="G24" s="20"/>
      <c r="H24" s="20"/>
      <c r="I24" s="20"/>
      <c r="J24" s="20"/>
      <c r="K24" s="20"/>
      <c r="L24" s="20"/>
      <c r="M24" s="20"/>
      <c r="N24" s="20"/>
      <c r="O24" s="20"/>
      <c r="P24" s="20"/>
      <c r="Q24" s="20"/>
      <c r="R24" s="20"/>
      <c r="S24" s="20"/>
      <c r="T24" s="20"/>
      <c r="U24" s="20"/>
      <c r="V24" s="20"/>
      <c r="W24" s="20"/>
      <c r="X24" s="20"/>
      <c r="Y24" s="20"/>
      <c r="Z24" s="20"/>
    </row>
    <row r="25" ht="56.25" customHeight="1">
      <c r="A25" s="26">
        <v>24.0</v>
      </c>
      <c r="B25" s="21" t="s">
        <v>712</v>
      </c>
      <c r="C25" s="22">
        <v>7.5908748E7</v>
      </c>
      <c r="D25" s="21" t="str">
        <f>VLOOKUP(C25,'PL NO.'!$B$3:$Q$374,4,0)</f>
        <v>LADIES SAFETY SHOES SIZE 7</v>
      </c>
      <c r="E25" s="22">
        <v>6.0</v>
      </c>
      <c r="F25" s="20"/>
      <c r="G25" s="20"/>
      <c r="H25" s="20"/>
      <c r="I25" s="20"/>
      <c r="J25" s="20"/>
      <c r="K25" s="20"/>
      <c r="L25" s="20"/>
      <c r="M25" s="20"/>
      <c r="N25" s="20"/>
      <c r="O25" s="20"/>
      <c r="P25" s="20"/>
      <c r="Q25" s="20"/>
      <c r="R25" s="20"/>
      <c r="S25" s="20"/>
      <c r="T25" s="20"/>
      <c r="U25" s="20"/>
      <c r="V25" s="20"/>
      <c r="W25" s="20"/>
      <c r="X25" s="20"/>
      <c r="Y25" s="20"/>
      <c r="Z25" s="20"/>
    </row>
    <row r="26" ht="56.25" customHeight="1">
      <c r="A26" s="26">
        <v>25.0</v>
      </c>
      <c r="B26" s="21" t="s">
        <v>712</v>
      </c>
      <c r="C26" s="22">
        <v>7.5908736E7</v>
      </c>
      <c r="D26" s="21" t="str">
        <f>VLOOKUP(C26,'PL NO.'!$B$3:$Q$374,4,0)</f>
        <v>GENTS SAFETY SHOES SIZE 6</v>
      </c>
      <c r="E26" s="22">
        <v>5.0</v>
      </c>
      <c r="F26" s="20"/>
      <c r="G26" s="20"/>
      <c r="H26" s="20"/>
      <c r="I26" s="20"/>
      <c r="J26" s="20"/>
      <c r="K26" s="20"/>
      <c r="L26" s="20"/>
      <c r="M26" s="20"/>
      <c r="N26" s="20"/>
      <c r="O26" s="20"/>
      <c r="P26" s="20"/>
      <c r="Q26" s="20"/>
      <c r="R26" s="20"/>
      <c r="S26" s="20"/>
      <c r="T26" s="20"/>
      <c r="U26" s="20"/>
      <c r="V26" s="20"/>
      <c r="W26" s="20"/>
      <c r="X26" s="20"/>
      <c r="Y26" s="20"/>
      <c r="Z26" s="20"/>
    </row>
    <row r="27" ht="56.25" customHeight="1">
      <c r="A27" s="26">
        <v>26.0</v>
      </c>
      <c r="B27" s="21" t="s">
        <v>712</v>
      </c>
      <c r="C27" s="22">
        <v>7.5908931E7</v>
      </c>
      <c r="D27" s="21" t="str">
        <f>VLOOKUP(C27,'PL NO.'!$B$3:$Q$374,4,0)</f>
        <v>GENTS SAFETY SHOES SIZE 7</v>
      </c>
      <c r="E27" s="22">
        <v>15.0</v>
      </c>
      <c r="F27" s="20"/>
      <c r="G27" s="20"/>
      <c r="H27" s="20"/>
      <c r="I27" s="20"/>
      <c r="J27" s="20"/>
      <c r="K27" s="20"/>
      <c r="L27" s="20"/>
      <c r="M27" s="20"/>
      <c r="N27" s="20"/>
      <c r="O27" s="20"/>
      <c r="P27" s="20"/>
      <c r="Q27" s="20"/>
      <c r="R27" s="20"/>
      <c r="S27" s="20"/>
      <c r="T27" s="20"/>
      <c r="U27" s="20"/>
      <c r="V27" s="20"/>
      <c r="W27" s="20"/>
      <c r="X27" s="20"/>
      <c r="Y27" s="20"/>
      <c r="Z27" s="20"/>
    </row>
    <row r="28" ht="56.25" customHeight="1">
      <c r="A28" s="26">
        <v>27.0</v>
      </c>
      <c r="B28" s="21" t="s">
        <v>712</v>
      </c>
      <c r="C28" s="22">
        <v>7.5908943E7</v>
      </c>
      <c r="D28" s="21" t="str">
        <f>VLOOKUP(C28,'PL NO.'!$B$3:$Q$374,4,0)</f>
        <v>GENTS SAFETY SHOES SIZE 8</v>
      </c>
      <c r="E28" s="22">
        <v>12.0</v>
      </c>
      <c r="F28" s="20"/>
      <c r="G28" s="20"/>
      <c r="H28" s="20"/>
      <c r="I28" s="20"/>
      <c r="J28" s="20"/>
      <c r="K28" s="20"/>
      <c r="L28" s="20"/>
      <c r="M28" s="20"/>
      <c r="N28" s="20"/>
      <c r="O28" s="20"/>
      <c r="P28" s="20"/>
      <c r="Q28" s="20"/>
      <c r="R28" s="20"/>
      <c r="S28" s="20"/>
      <c r="T28" s="20"/>
      <c r="U28" s="20"/>
      <c r="V28" s="20"/>
      <c r="W28" s="20"/>
      <c r="X28" s="20"/>
      <c r="Y28" s="20"/>
      <c r="Z28" s="20"/>
    </row>
    <row r="29" ht="56.25" customHeight="1">
      <c r="A29" s="26">
        <v>28.0</v>
      </c>
      <c r="B29" s="21" t="s">
        <v>712</v>
      </c>
      <c r="C29" s="22">
        <v>7.5908955E7</v>
      </c>
      <c r="D29" s="21" t="str">
        <f>VLOOKUP(C29,'PL NO.'!$B$3:$Q$374,4,0)</f>
        <v>GENTS SAFETY SHOES SIZE 9</v>
      </c>
      <c r="E29" s="22">
        <v>23.0</v>
      </c>
      <c r="F29" s="20"/>
      <c r="G29" s="20"/>
      <c r="H29" s="20"/>
      <c r="I29" s="20"/>
      <c r="J29" s="20"/>
      <c r="K29" s="20"/>
      <c r="L29" s="20"/>
      <c r="M29" s="20"/>
      <c r="N29" s="20"/>
      <c r="O29" s="20"/>
      <c r="P29" s="20"/>
      <c r="Q29" s="20"/>
      <c r="R29" s="20"/>
      <c r="S29" s="20"/>
      <c r="T29" s="20"/>
      <c r="U29" s="20"/>
      <c r="V29" s="20"/>
      <c r="W29" s="20"/>
      <c r="X29" s="20"/>
      <c r="Y29" s="20"/>
      <c r="Z29" s="20"/>
    </row>
    <row r="30" ht="56.25" customHeight="1">
      <c r="A30" s="26">
        <v>29.0</v>
      </c>
      <c r="B30" s="21" t="s">
        <v>712</v>
      </c>
      <c r="C30" s="22">
        <v>7.5908852E7</v>
      </c>
      <c r="D30" s="21" t="str">
        <f>VLOOKUP(C30,'PL NO.'!$B$3:$Q$374,4,0)</f>
        <v>GENTS SAFETY SHOES SIZE 10</v>
      </c>
      <c r="E30" s="22">
        <v>7.0</v>
      </c>
      <c r="F30" s="20"/>
      <c r="G30" s="20"/>
      <c r="H30" s="20"/>
      <c r="I30" s="20"/>
      <c r="J30" s="20"/>
      <c r="K30" s="20"/>
      <c r="L30" s="20"/>
      <c r="M30" s="20"/>
      <c r="N30" s="20"/>
      <c r="O30" s="20"/>
      <c r="P30" s="20"/>
      <c r="Q30" s="20"/>
      <c r="R30" s="20"/>
      <c r="S30" s="20"/>
      <c r="T30" s="20"/>
      <c r="U30" s="20"/>
      <c r="V30" s="20"/>
      <c r="W30" s="20"/>
      <c r="X30" s="20"/>
      <c r="Y30" s="20"/>
      <c r="Z30" s="20"/>
    </row>
    <row r="31" ht="56.25" customHeight="1">
      <c r="A31" s="26">
        <v>30.0</v>
      </c>
      <c r="B31" s="21" t="s">
        <v>1</v>
      </c>
      <c r="C31" s="22">
        <v>4.3080005E7</v>
      </c>
      <c r="D31" s="21" t="str">
        <f>VLOOKUP(C31,'PL NO.'!$B$3:$Q$374,4,0)</f>
        <v>"N" TYPE DUPLEX THERMOCOUPLE FOR LPH</v>
      </c>
      <c r="E31" s="22">
        <v>2.0</v>
      </c>
      <c r="F31" s="20"/>
      <c r="G31" s="20"/>
      <c r="H31" s="20"/>
      <c r="I31" s="20"/>
      <c r="J31" s="20"/>
      <c r="K31" s="20"/>
      <c r="L31" s="20"/>
      <c r="M31" s="20"/>
      <c r="N31" s="20"/>
      <c r="O31" s="20"/>
      <c r="P31" s="20"/>
      <c r="Q31" s="20"/>
      <c r="R31" s="20"/>
      <c r="S31" s="20"/>
      <c r="T31" s="20"/>
      <c r="U31" s="20"/>
      <c r="V31" s="20"/>
      <c r="W31" s="20"/>
      <c r="X31" s="20"/>
      <c r="Y31" s="20"/>
      <c r="Z31" s="20"/>
    </row>
    <row r="32" ht="56.25" customHeight="1">
      <c r="A32" s="26">
        <v>31.0</v>
      </c>
      <c r="B32" s="21" t="s">
        <v>1</v>
      </c>
      <c r="C32" s="22">
        <v>4.7241573E7</v>
      </c>
      <c r="D32" s="21" t="str">
        <f>VLOOKUP(C32,'PL NO.'!$B$3:$Q$374,4,0)</f>
        <v>JOYSTIC CONTROLLER</v>
      </c>
      <c r="E32" s="22">
        <v>6.0</v>
      </c>
      <c r="F32" s="20"/>
      <c r="G32" s="20"/>
      <c r="H32" s="20"/>
      <c r="I32" s="20"/>
      <c r="J32" s="20"/>
      <c r="K32" s="20"/>
      <c r="L32" s="20"/>
      <c r="M32" s="20"/>
      <c r="N32" s="20"/>
      <c r="O32" s="20"/>
      <c r="P32" s="20"/>
      <c r="Q32" s="20"/>
      <c r="R32" s="20"/>
      <c r="S32" s="20"/>
      <c r="T32" s="20"/>
      <c r="U32" s="20"/>
      <c r="V32" s="20"/>
      <c r="W32" s="20"/>
      <c r="X32" s="20"/>
      <c r="Y32" s="20"/>
      <c r="Z32" s="20"/>
    </row>
    <row r="33" ht="56.25" customHeight="1">
      <c r="A33" s="26">
        <v>32.0</v>
      </c>
      <c r="B33" s="21" t="s">
        <v>1</v>
      </c>
      <c r="C33" s="22">
        <v>4.7420479E7</v>
      </c>
      <c r="D33" s="21" t="str">
        <f>VLOOKUP(C33,'PL NO.'!$B$3:$Q$374,4,0)</f>
        <v>LIGHT DUTY OVER TRAVEL CONTROL UNIT</v>
      </c>
      <c r="E33" s="22">
        <v>10.0</v>
      </c>
      <c r="F33" s="20"/>
      <c r="G33" s="20"/>
      <c r="H33" s="20"/>
      <c r="I33" s="20"/>
      <c r="J33" s="20"/>
      <c r="K33" s="20"/>
      <c r="L33" s="20"/>
      <c r="M33" s="20"/>
      <c r="N33" s="20"/>
      <c r="O33" s="20"/>
      <c r="P33" s="20"/>
      <c r="Q33" s="20"/>
      <c r="R33" s="20"/>
      <c r="S33" s="20"/>
      <c r="T33" s="20"/>
      <c r="U33" s="20"/>
      <c r="V33" s="20"/>
      <c r="W33" s="20"/>
      <c r="X33" s="20"/>
      <c r="Y33" s="20"/>
      <c r="Z33" s="20"/>
    </row>
    <row r="34" ht="56.25" customHeight="1">
      <c r="A34" s="26">
        <v>33.0</v>
      </c>
      <c r="B34" s="21" t="s">
        <v>1</v>
      </c>
      <c r="C34" s="22">
        <v>4.2020116E7</v>
      </c>
      <c r="D34" s="21" t="str">
        <f>VLOOKUP(C34,'PL NO.'!$B$3:$Q$374,4,0)</f>
        <v>BCH LIMIT SWITCH</v>
      </c>
      <c r="E34" s="22">
        <v>10.0</v>
      </c>
      <c r="F34" s="20"/>
      <c r="G34" s="20"/>
      <c r="H34" s="20"/>
      <c r="I34" s="20"/>
      <c r="J34" s="20"/>
      <c r="K34" s="20"/>
      <c r="L34" s="20"/>
      <c r="M34" s="20"/>
      <c r="N34" s="20"/>
      <c r="O34" s="20"/>
      <c r="P34" s="20"/>
      <c r="Q34" s="20"/>
      <c r="R34" s="20"/>
      <c r="S34" s="20"/>
      <c r="T34" s="20"/>
      <c r="U34" s="20"/>
      <c r="V34" s="20"/>
      <c r="W34" s="20"/>
      <c r="X34" s="20"/>
      <c r="Y34" s="20"/>
      <c r="Z34" s="20"/>
    </row>
    <row r="35" ht="56.25" customHeight="1">
      <c r="A35" s="26">
        <v>34.0</v>
      </c>
      <c r="B35" s="21" t="s">
        <v>1</v>
      </c>
      <c r="C35" s="22">
        <v>4.1077787E7</v>
      </c>
      <c r="D35" s="21" t="str">
        <f>VLOOKUP(C35,'PL NO.'!$B$3:$Q$374,4,0)</f>
        <v>PRESSURE SENSITIVE ADHESIVE PVC TAPES GREEN COLOUR</v>
      </c>
      <c r="E35" s="22">
        <v>100.0</v>
      </c>
      <c r="F35" s="20"/>
      <c r="G35" s="20"/>
      <c r="H35" s="20"/>
      <c r="I35" s="20"/>
      <c r="J35" s="20"/>
      <c r="K35" s="20"/>
      <c r="L35" s="20"/>
      <c r="M35" s="20"/>
      <c r="N35" s="20"/>
      <c r="O35" s="20"/>
      <c r="P35" s="20"/>
      <c r="Q35" s="20"/>
      <c r="R35" s="20"/>
      <c r="S35" s="20"/>
      <c r="T35" s="20"/>
      <c r="U35" s="20"/>
      <c r="V35" s="20"/>
      <c r="W35" s="20"/>
      <c r="X35" s="20"/>
      <c r="Y35" s="20"/>
      <c r="Z35" s="20"/>
    </row>
    <row r="36" ht="56.25" customHeight="1">
      <c r="A36" s="26">
        <v>35.0</v>
      </c>
      <c r="B36" s="21" t="s">
        <v>1</v>
      </c>
      <c r="C36" s="22">
        <v>4.742034E7</v>
      </c>
      <c r="D36" s="21" t="str">
        <f>VLOOKUP(C36,'PL NO.'!$B$3:$Q$374,4,0)</f>
        <v>HEAVY DUTY OVER TRAVEL CONTROL UNIT</v>
      </c>
      <c r="E36" s="22">
        <v>10.0</v>
      </c>
      <c r="F36" s="20"/>
      <c r="G36" s="20"/>
      <c r="H36" s="20"/>
      <c r="I36" s="20"/>
      <c r="J36" s="20"/>
      <c r="K36" s="20"/>
      <c r="L36" s="20"/>
      <c r="M36" s="20"/>
      <c r="N36" s="20"/>
      <c r="O36" s="20"/>
      <c r="P36" s="20"/>
      <c r="Q36" s="20"/>
      <c r="R36" s="20"/>
      <c r="S36" s="20"/>
      <c r="T36" s="20"/>
      <c r="U36" s="20"/>
      <c r="V36" s="20"/>
      <c r="W36" s="20"/>
      <c r="X36" s="20"/>
      <c r="Y36" s="20"/>
      <c r="Z36" s="20"/>
    </row>
    <row r="37" ht="56.25" customHeight="1">
      <c r="A37" s="26">
        <v>36.0</v>
      </c>
      <c r="B37" s="21" t="s">
        <v>1</v>
      </c>
      <c r="C37" s="22">
        <v>4.390032E7</v>
      </c>
      <c r="D37" s="21" t="str">
        <f>VLOOKUP(C37,'PL NO.'!$B$3:$Q$374,4,0)</f>
        <v>"J" TYPE SIMPLEX THERMOCOUPLE</v>
      </c>
      <c r="E37" s="22">
        <v>20.0</v>
      </c>
      <c r="F37" s="20"/>
      <c r="G37" s="20"/>
      <c r="H37" s="20"/>
      <c r="I37" s="20"/>
      <c r="J37" s="20"/>
      <c r="K37" s="20"/>
      <c r="L37" s="20"/>
      <c r="M37" s="20"/>
      <c r="N37" s="20"/>
      <c r="O37" s="20"/>
      <c r="P37" s="20"/>
      <c r="Q37" s="20"/>
      <c r="R37" s="20"/>
      <c r="S37" s="20"/>
      <c r="T37" s="20"/>
      <c r="U37" s="20"/>
      <c r="V37" s="20"/>
      <c r="W37" s="20"/>
      <c r="X37" s="20"/>
      <c r="Y37" s="20"/>
      <c r="Z37" s="20"/>
    </row>
    <row r="38" ht="56.25" customHeight="1">
      <c r="A38" s="26">
        <v>37.0</v>
      </c>
      <c r="B38" s="21" t="s">
        <v>1</v>
      </c>
      <c r="C38" s="22">
        <v>4.2903932E7</v>
      </c>
      <c r="D38" s="21" t="str">
        <f>VLOOKUP(C38,'PL NO.'!$B$3:$Q$374,4,0)</f>
        <v>SOLENOID COIL FOR WPFS PNEUMATIC VALVE SOLENOID FOR M/S EMERSON MAKE</v>
      </c>
      <c r="E38" s="22">
        <v>5.0</v>
      </c>
      <c r="F38" s="20"/>
      <c r="G38" s="20"/>
      <c r="H38" s="20"/>
      <c r="I38" s="20"/>
      <c r="J38" s="20"/>
      <c r="K38" s="20"/>
      <c r="L38" s="20"/>
      <c r="M38" s="20"/>
      <c r="N38" s="20"/>
      <c r="O38" s="20"/>
      <c r="P38" s="20"/>
      <c r="Q38" s="20"/>
      <c r="R38" s="20"/>
      <c r="S38" s="20"/>
      <c r="T38" s="20"/>
      <c r="U38" s="20"/>
      <c r="V38" s="20"/>
      <c r="W38" s="20"/>
      <c r="X38" s="20"/>
      <c r="Y38" s="20"/>
      <c r="Z38" s="20"/>
    </row>
    <row r="39" ht="56.25" customHeight="1">
      <c r="A39" s="26">
        <v>38.0</v>
      </c>
      <c r="B39" s="21" t="s">
        <v>1</v>
      </c>
      <c r="C39" s="22">
        <v>4.742048E7</v>
      </c>
      <c r="D39" s="21" t="str">
        <f>VLOOKUP(C39,'PL NO.'!$B$3:$Q$374,4,0)</f>
        <v>PROXIMITY SCANNER OF SENSING DISTANCE 10 CMS TO 90 CMS ADJUSTABLE. OPERATING VOLTAGE 15 V TO 260 V AC</v>
      </c>
      <c r="E39" s="22">
        <v>4.0</v>
      </c>
      <c r="F39" s="20"/>
      <c r="G39" s="20"/>
      <c r="H39" s="20"/>
      <c r="I39" s="20"/>
      <c r="J39" s="20"/>
      <c r="K39" s="20"/>
      <c r="L39" s="20"/>
      <c r="M39" s="20"/>
      <c r="N39" s="20"/>
      <c r="O39" s="20"/>
      <c r="P39" s="20"/>
      <c r="Q39" s="20"/>
      <c r="R39" s="20"/>
      <c r="S39" s="20"/>
      <c r="T39" s="20"/>
      <c r="U39" s="20"/>
      <c r="V39" s="20"/>
      <c r="W39" s="20"/>
      <c r="X39" s="20"/>
      <c r="Y39" s="20"/>
      <c r="Z39" s="20"/>
    </row>
    <row r="40" ht="56.25" customHeight="1">
      <c r="A40" s="26">
        <v>39.0</v>
      </c>
      <c r="B40" s="21" t="s">
        <v>1</v>
      </c>
      <c r="C40" s="22">
        <v>4.3010076E7</v>
      </c>
      <c r="D40" s="21" t="str">
        <f>VLOOKUP(C40,'PL NO.'!$B$3:$Q$374,4,0)</f>
        <v>HEATER CARTRIDGES 1500W FOR CORE BAKING</v>
      </c>
      <c r="E40" s="22">
        <v>20.0</v>
      </c>
      <c r="F40" s="20"/>
      <c r="G40" s="20"/>
      <c r="H40" s="20"/>
      <c r="I40" s="20"/>
      <c r="J40" s="20"/>
      <c r="K40" s="20"/>
      <c r="L40" s="20"/>
      <c r="M40" s="20"/>
      <c r="N40" s="20"/>
      <c r="O40" s="20"/>
      <c r="P40" s="20"/>
      <c r="Q40" s="20"/>
      <c r="R40" s="20"/>
      <c r="S40" s="20"/>
      <c r="T40" s="20"/>
      <c r="U40" s="20"/>
      <c r="V40" s="20"/>
      <c r="W40" s="20"/>
      <c r="X40" s="20"/>
      <c r="Y40" s="20"/>
      <c r="Z40" s="20"/>
    </row>
    <row r="41" ht="56.25" customHeight="1">
      <c r="A41" s="26">
        <v>40.0</v>
      </c>
      <c r="B41" s="21" t="s">
        <v>1</v>
      </c>
      <c r="C41" s="22">
        <v>4.2060084E7</v>
      </c>
      <c r="D41" s="21" t="str">
        <f>VLOOKUP(C41,'PL NO.'!$B$3:$Q$374,4,0)</f>
        <v>ADJUSTABLE ROLLER LEVER FOR JAI BALAJI LIMIT SWITCH</v>
      </c>
      <c r="E41" s="22">
        <v>10.0</v>
      </c>
      <c r="F41" s="20"/>
      <c r="G41" s="20"/>
      <c r="H41" s="20"/>
      <c r="I41" s="20"/>
      <c r="J41" s="20"/>
      <c r="K41" s="20"/>
      <c r="L41" s="20"/>
      <c r="M41" s="20"/>
      <c r="N41" s="20"/>
      <c r="O41" s="20"/>
      <c r="P41" s="20"/>
      <c r="Q41" s="20"/>
      <c r="R41" s="20"/>
      <c r="S41" s="20"/>
      <c r="T41" s="20"/>
      <c r="U41" s="20"/>
      <c r="V41" s="20"/>
      <c r="W41" s="20"/>
      <c r="X41" s="20"/>
      <c r="Y41" s="20"/>
      <c r="Z41" s="20"/>
    </row>
    <row r="42" ht="56.25" customHeight="1">
      <c r="A42" s="26">
        <v>41.0</v>
      </c>
      <c r="B42" s="21" t="s">
        <v>1</v>
      </c>
      <c r="C42" s="22">
        <v>4.7241172E7</v>
      </c>
      <c r="D42" s="21" t="str">
        <f>VLOOKUP(C42,'PL NO.'!$B$3:$Q$374,4,0)</f>
        <v>OIL TIGHT INDICATING LIGHTS, 30.5MM, 110V, IN FIVE COLOURES(RED,BLUE,AMBER,GREEN,CLEAR)</v>
      </c>
      <c r="E42" s="22">
        <v>10.0</v>
      </c>
      <c r="F42" s="20"/>
      <c r="G42" s="20"/>
      <c r="H42" s="20"/>
      <c r="I42" s="20"/>
      <c r="J42" s="20"/>
      <c r="K42" s="20"/>
      <c r="L42" s="20"/>
      <c r="M42" s="20"/>
      <c r="N42" s="20"/>
      <c r="O42" s="20"/>
      <c r="P42" s="20"/>
      <c r="Q42" s="20"/>
      <c r="R42" s="20"/>
      <c r="S42" s="20"/>
      <c r="T42" s="20"/>
      <c r="U42" s="20"/>
      <c r="V42" s="20"/>
      <c r="W42" s="20"/>
      <c r="X42" s="20"/>
      <c r="Y42" s="20"/>
      <c r="Z42" s="20"/>
    </row>
    <row r="43" ht="56.25" customHeight="1">
      <c r="A43" s="26">
        <v>42.0</v>
      </c>
      <c r="B43" s="21" t="s">
        <v>1</v>
      </c>
      <c r="C43" s="22">
        <v>7.3641819E7</v>
      </c>
      <c r="D43" s="21" t="str">
        <f>VLOOKUP(C43,'PL NO.'!$B$3:$Q$374,4,0)</f>
        <v>SCREWS WITH TWO NUTS TWO FLAT WASHERS OF SCREWS SIZE M5 AND LENGTH 60MM</v>
      </c>
      <c r="E43" s="22">
        <v>200.0</v>
      </c>
      <c r="F43" s="20"/>
      <c r="G43" s="20"/>
      <c r="H43" s="20"/>
      <c r="I43" s="20"/>
      <c r="J43" s="20"/>
      <c r="K43" s="20"/>
      <c r="L43" s="20"/>
      <c r="M43" s="20"/>
      <c r="N43" s="20"/>
      <c r="O43" s="20"/>
      <c r="P43" s="20"/>
      <c r="Q43" s="20"/>
      <c r="R43" s="20"/>
      <c r="S43" s="20"/>
      <c r="T43" s="20"/>
      <c r="U43" s="20"/>
      <c r="V43" s="20"/>
      <c r="W43" s="20"/>
      <c r="X43" s="20"/>
      <c r="Y43" s="20"/>
      <c r="Z43" s="20"/>
    </row>
    <row r="44" ht="56.25" customHeight="1">
      <c r="A44" s="26">
        <v>43.0</v>
      </c>
      <c r="B44" s="21" t="s">
        <v>1</v>
      </c>
      <c r="C44" s="22">
        <v>4.7241202E7</v>
      </c>
      <c r="D44" s="21" t="str">
        <f>VLOOKUP(C44,'PL NO.'!$B$3:$Q$374,4,0)</f>
        <v>MUSH ROOM HEAD OIL TIGHT PUSH BUTTON 22MM DIA RED IN COLOUR, PULL TO RESET TYPE. (LATCH-IN-TWIST TO RESET)</v>
      </c>
      <c r="E44" s="22">
        <v>4.0</v>
      </c>
      <c r="F44" s="20"/>
      <c r="G44" s="20"/>
      <c r="H44" s="20"/>
      <c r="I44" s="20"/>
      <c r="J44" s="20"/>
      <c r="K44" s="20"/>
      <c r="L44" s="20"/>
      <c r="M44" s="20"/>
      <c r="N44" s="20"/>
      <c r="O44" s="20"/>
      <c r="P44" s="20"/>
      <c r="Q44" s="20"/>
      <c r="R44" s="20"/>
      <c r="S44" s="20"/>
      <c r="T44" s="20"/>
      <c r="U44" s="20"/>
      <c r="V44" s="20"/>
      <c r="W44" s="20"/>
      <c r="X44" s="20"/>
      <c r="Y44" s="20"/>
      <c r="Z44" s="20"/>
    </row>
    <row r="45" ht="56.25" customHeight="1">
      <c r="A45" s="26">
        <v>44.0</v>
      </c>
      <c r="B45" s="21" t="s">
        <v>1</v>
      </c>
      <c r="C45" s="22">
        <v>4.7241251E7</v>
      </c>
      <c r="D45" s="21" t="str">
        <f>VLOOKUP(C45,'PL NO.'!$B$3:$Q$374,4,0)</f>
        <v>OIL TIGHT SELACTOR SWITCH 3 POSITION MAINTAINED TYPE OF SIZE 30.5 MM</v>
      </c>
      <c r="E45" s="22">
        <v>10.0</v>
      </c>
      <c r="F45" s="20"/>
      <c r="G45" s="20"/>
      <c r="H45" s="20"/>
      <c r="I45" s="20"/>
      <c r="J45" s="20"/>
      <c r="K45" s="20"/>
      <c r="L45" s="20"/>
      <c r="M45" s="20"/>
      <c r="N45" s="20"/>
      <c r="O45" s="20"/>
      <c r="P45" s="20"/>
      <c r="Q45" s="20"/>
      <c r="R45" s="20"/>
      <c r="S45" s="20"/>
      <c r="T45" s="20"/>
      <c r="U45" s="20"/>
      <c r="V45" s="20"/>
      <c r="W45" s="20"/>
      <c r="X45" s="20"/>
      <c r="Y45" s="20"/>
      <c r="Z45" s="20"/>
    </row>
    <row r="46" ht="56.25" customHeight="1">
      <c r="A46" s="26">
        <v>45.0</v>
      </c>
      <c r="B46" s="21" t="s">
        <v>1</v>
      </c>
      <c r="C46" s="22">
        <v>4.7241263E7</v>
      </c>
      <c r="D46" s="21" t="str">
        <f>VLOOKUP(C46,'PL NO.'!$B$3:$Q$374,4,0)</f>
        <v>SELECTOR SWITCH 2POSTION MAINTAINED TYPE 22.5MM</v>
      </c>
      <c r="E46" s="22">
        <v>10.0</v>
      </c>
      <c r="F46" s="20"/>
      <c r="G46" s="20"/>
      <c r="H46" s="20"/>
      <c r="I46" s="20"/>
      <c r="J46" s="20"/>
      <c r="K46" s="20"/>
      <c r="L46" s="20"/>
      <c r="M46" s="20"/>
      <c r="N46" s="20"/>
      <c r="O46" s="20"/>
      <c r="P46" s="20"/>
      <c r="Q46" s="20"/>
      <c r="R46" s="20"/>
      <c r="S46" s="20"/>
      <c r="T46" s="20"/>
      <c r="U46" s="20"/>
      <c r="V46" s="20"/>
      <c r="W46" s="20"/>
      <c r="X46" s="20"/>
      <c r="Y46" s="20"/>
      <c r="Z46" s="20"/>
    </row>
    <row r="47" ht="56.25" customHeight="1">
      <c r="A47" s="26">
        <v>46.0</v>
      </c>
      <c r="B47" s="21" t="s">
        <v>1</v>
      </c>
      <c r="C47" s="22">
        <v>4.2029387E7</v>
      </c>
      <c r="D47" s="21" t="str">
        <f>VLOOKUP(C47,'PL NO.'!$B$3:$Q$374,4,0)</f>
        <v>MCCB, RATED CURRENT 100A</v>
      </c>
      <c r="E47" s="22">
        <v>2.0</v>
      </c>
      <c r="F47" s="20"/>
      <c r="G47" s="20"/>
      <c r="H47" s="20"/>
      <c r="I47" s="20"/>
      <c r="J47" s="20"/>
      <c r="K47" s="20"/>
      <c r="L47" s="20"/>
      <c r="M47" s="20"/>
      <c r="N47" s="20"/>
      <c r="O47" s="20"/>
      <c r="P47" s="20"/>
      <c r="Q47" s="20"/>
      <c r="R47" s="20"/>
      <c r="S47" s="20"/>
      <c r="T47" s="20"/>
      <c r="U47" s="20"/>
      <c r="V47" s="20"/>
      <c r="W47" s="20"/>
      <c r="X47" s="20"/>
      <c r="Y47" s="20"/>
      <c r="Z47" s="20"/>
    </row>
    <row r="48" ht="56.25" customHeight="1">
      <c r="A48" s="26">
        <v>47.0</v>
      </c>
      <c r="B48" s="21" t="s">
        <v>1</v>
      </c>
      <c r="C48" s="22">
        <v>4.7241652E7</v>
      </c>
      <c r="D48" s="21" t="str">
        <f>VLOOKUP(C48,'PL NO.'!$B$3:$Q$374,4,0)</f>
        <v>DIGITAL AMMETER SINGLE PHASE, UNIVERSAL AUXILIARY SUPPLY-80 TO 300VAC/DC, OF SIZE 96X96SQMM</v>
      </c>
      <c r="E48" s="22">
        <v>1.0</v>
      </c>
      <c r="F48" s="20"/>
      <c r="G48" s="20"/>
      <c r="H48" s="20"/>
      <c r="I48" s="20"/>
      <c r="J48" s="20"/>
      <c r="K48" s="20"/>
      <c r="L48" s="20"/>
      <c r="M48" s="20"/>
      <c r="N48" s="20"/>
      <c r="O48" s="20"/>
      <c r="P48" s="20"/>
      <c r="Q48" s="20"/>
      <c r="R48" s="20"/>
      <c r="S48" s="20"/>
      <c r="T48" s="20"/>
      <c r="U48" s="20"/>
      <c r="V48" s="20"/>
      <c r="W48" s="20"/>
      <c r="X48" s="20"/>
      <c r="Y48" s="20"/>
      <c r="Z48" s="20"/>
    </row>
    <row r="49" ht="56.25" customHeight="1">
      <c r="A49" s="26">
        <v>48.0</v>
      </c>
      <c r="B49" s="21" t="s">
        <v>1</v>
      </c>
      <c r="C49" s="22">
        <v>4.7160111E7</v>
      </c>
      <c r="D49" s="21" t="str">
        <f>VLOOKUP(C49,'PL NO.'!$B$3:$Q$374,4,0)</f>
        <v>BRAKE COIL, 415V, 48 NM</v>
      </c>
      <c r="E49" s="22">
        <v>2.0</v>
      </c>
      <c r="F49" s="20"/>
      <c r="G49" s="20"/>
      <c r="H49" s="20"/>
      <c r="I49" s="20"/>
      <c r="J49" s="20"/>
      <c r="K49" s="20"/>
      <c r="L49" s="20"/>
      <c r="M49" s="20"/>
      <c r="N49" s="20"/>
      <c r="O49" s="20"/>
      <c r="P49" s="20"/>
      <c r="Q49" s="20"/>
      <c r="R49" s="20"/>
      <c r="S49" s="20"/>
      <c r="T49" s="20"/>
      <c r="U49" s="20"/>
      <c r="V49" s="20"/>
      <c r="W49" s="20"/>
      <c r="X49" s="20"/>
      <c r="Y49" s="20"/>
      <c r="Z49" s="20"/>
    </row>
    <row r="50" ht="56.25" customHeight="1">
      <c r="A50" s="26">
        <v>49.0</v>
      </c>
      <c r="B50" s="21" t="s">
        <v>1</v>
      </c>
      <c r="C50" s="22">
        <v>4.2160029E7</v>
      </c>
      <c r="D50" s="21" t="str">
        <f>VLOOKUP(C50,'PL NO.'!$B$3:$Q$374,4,0)</f>
        <v>SHORT WAVE INFRA RED HEATER</v>
      </c>
      <c r="E50" s="22">
        <v>2.0</v>
      </c>
      <c r="F50" s="20"/>
      <c r="G50" s="20"/>
      <c r="H50" s="20"/>
      <c r="I50" s="20"/>
      <c r="J50" s="20"/>
      <c r="K50" s="20"/>
      <c r="L50" s="20"/>
      <c r="M50" s="20"/>
      <c r="N50" s="20"/>
      <c r="O50" s="20"/>
      <c r="P50" s="20"/>
      <c r="Q50" s="20"/>
      <c r="R50" s="20"/>
      <c r="S50" s="20"/>
      <c r="T50" s="20"/>
      <c r="U50" s="20"/>
      <c r="V50" s="20"/>
      <c r="W50" s="20"/>
      <c r="X50" s="20"/>
      <c r="Y50" s="20"/>
      <c r="Z50" s="20"/>
    </row>
    <row r="51" ht="56.25" customHeight="1">
      <c r="A51" s="26">
        <v>50.0</v>
      </c>
      <c r="B51" s="21" t="s">
        <v>1</v>
      </c>
      <c r="C51" s="22">
        <v>4.0078243E7</v>
      </c>
      <c r="D51" s="21" t="str">
        <f>VLOOKUP(C51,'PL NO.'!$B$3:$Q$374,4,0)</f>
        <v>COPPER CABLE, 1SQ.MM, 1 CORE, RED COLOUR</v>
      </c>
      <c r="E51" s="22">
        <v>200.0</v>
      </c>
      <c r="F51" s="20"/>
      <c r="G51" s="20"/>
      <c r="H51" s="20"/>
      <c r="I51" s="20"/>
      <c r="J51" s="20"/>
      <c r="K51" s="20"/>
      <c r="L51" s="20"/>
      <c r="M51" s="20"/>
      <c r="N51" s="20"/>
      <c r="O51" s="20"/>
      <c r="P51" s="20"/>
      <c r="Q51" s="20"/>
      <c r="R51" s="20"/>
      <c r="S51" s="20"/>
      <c r="T51" s="20"/>
      <c r="U51" s="20"/>
      <c r="V51" s="20"/>
      <c r="W51" s="20"/>
      <c r="X51" s="20"/>
      <c r="Y51" s="20"/>
      <c r="Z51" s="20"/>
    </row>
    <row r="52" ht="56.25" customHeight="1">
      <c r="A52" s="26">
        <v>51.0</v>
      </c>
      <c r="B52" s="21" t="s">
        <v>1</v>
      </c>
      <c r="C52" s="22">
        <v>4.7241664E7</v>
      </c>
      <c r="D52" s="21" t="str">
        <f>VLOOKUP(C52,'PL NO.'!$B$3:$Q$374,4,0)</f>
        <v>CONTROL RELAY, 110V AC, 4NO + 4NC</v>
      </c>
      <c r="E52" s="22">
        <v>5.0</v>
      </c>
      <c r="F52" s="20"/>
      <c r="G52" s="20"/>
      <c r="H52" s="20"/>
      <c r="I52" s="20"/>
      <c r="J52" s="20"/>
      <c r="K52" s="20"/>
      <c r="L52" s="20"/>
      <c r="M52" s="20"/>
      <c r="N52" s="20"/>
      <c r="O52" s="20"/>
      <c r="P52" s="20"/>
      <c r="Q52" s="20"/>
      <c r="R52" s="20"/>
      <c r="S52" s="20"/>
      <c r="T52" s="20"/>
      <c r="U52" s="20"/>
      <c r="V52" s="20"/>
      <c r="W52" s="20"/>
      <c r="X52" s="20"/>
      <c r="Y52" s="20"/>
      <c r="Z52" s="20"/>
    </row>
    <row r="53" ht="56.25" customHeight="1">
      <c r="A53" s="26">
        <v>52.0</v>
      </c>
      <c r="B53" s="21" t="s">
        <v>1</v>
      </c>
      <c r="C53" s="22">
        <v>4.2029417E7</v>
      </c>
      <c r="D53" s="21" t="str">
        <f>VLOOKUP(C53,'PL NO.'!$B$3:$Q$374,4,0)</f>
        <v>POWER CONTACTOR, 16A, 230V AC</v>
      </c>
      <c r="E53" s="22">
        <v>5.0</v>
      </c>
      <c r="F53" s="20"/>
      <c r="G53" s="20"/>
      <c r="H53" s="20"/>
      <c r="I53" s="20"/>
      <c r="J53" s="20"/>
      <c r="K53" s="20"/>
      <c r="L53" s="20"/>
      <c r="M53" s="20"/>
      <c r="N53" s="20"/>
      <c r="O53" s="20"/>
      <c r="P53" s="20"/>
      <c r="Q53" s="20"/>
      <c r="R53" s="20"/>
      <c r="S53" s="20"/>
      <c r="T53" s="20"/>
      <c r="U53" s="20"/>
      <c r="V53" s="20"/>
      <c r="W53" s="20"/>
      <c r="X53" s="20"/>
      <c r="Y53" s="20"/>
      <c r="Z53" s="20"/>
    </row>
    <row r="54" ht="56.25" customHeight="1">
      <c r="A54" s="26">
        <v>53.0</v>
      </c>
      <c r="B54" s="21" t="s">
        <v>1</v>
      </c>
      <c r="C54" s="22">
        <v>4.2901017E7</v>
      </c>
      <c r="D54" s="21" t="str">
        <f>VLOOKUP(C54,'PL NO.'!$B$3:$Q$374,4,0)</f>
        <v>PENDENT CONTROL STATION 8 PUSH BUTTON</v>
      </c>
      <c r="E54" s="22">
        <v>2.0</v>
      </c>
      <c r="F54" s="20"/>
      <c r="G54" s="20"/>
      <c r="H54" s="20"/>
      <c r="I54" s="20"/>
      <c r="J54" s="20"/>
      <c r="K54" s="20"/>
      <c r="L54" s="20"/>
      <c r="M54" s="20"/>
      <c r="N54" s="20"/>
      <c r="O54" s="20"/>
      <c r="P54" s="20"/>
      <c r="Q54" s="20"/>
      <c r="R54" s="20"/>
      <c r="S54" s="20"/>
      <c r="T54" s="20"/>
      <c r="U54" s="20"/>
      <c r="V54" s="20"/>
      <c r="W54" s="20"/>
      <c r="X54" s="20"/>
      <c r="Y54" s="20"/>
      <c r="Z54" s="20"/>
    </row>
    <row r="55" ht="56.25" customHeight="1">
      <c r="A55" s="26">
        <v>54.0</v>
      </c>
      <c r="B55" s="21" t="s">
        <v>1</v>
      </c>
      <c r="C55" s="22">
        <v>4.3229943E7</v>
      </c>
      <c r="D55" s="21" t="str">
        <f>VLOOKUP(C55,'PL NO.'!$B$3:$Q$374,4,0)</f>
        <v>PANEL MOUNTING COOLER UNIT</v>
      </c>
      <c r="E55" s="22">
        <v>1.0</v>
      </c>
      <c r="F55" s="20"/>
      <c r="G55" s="20"/>
      <c r="H55" s="20"/>
      <c r="I55" s="20"/>
      <c r="J55" s="20"/>
      <c r="K55" s="20"/>
      <c r="L55" s="20"/>
      <c r="M55" s="20"/>
      <c r="N55" s="20"/>
      <c r="O55" s="20"/>
      <c r="P55" s="20"/>
      <c r="Q55" s="20"/>
      <c r="R55" s="20"/>
      <c r="S55" s="20"/>
      <c r="T55" s="20"/>
      <c r="U55" s="20"/>
      <c r="V55" s="20"/>
      <c r="W55" s="20"/>
      <c r="X55" s="20"/>
      <c r="Y55" s="20"/>
      <c r="Z55" s="20"/>
    </row>
    <row r="56" ht="56.25" customHeight="1">
      <c r="A56" s="26">
        <v>55.0</v>
      </c>
      <c r="B56" s="21" t="s">
        <v>1</v>
      </c>
      <c r="C56" s="22">
        <v>4.0078231E7</v>
      </c>
      <c r="D56" s="21" t="str">
        <f>VLOOKUP(C56,'PL NO.'!$B$3:$Q$374,4,0)</f>
        <v>COPPER CABLE, 2.5SQ.MM, 4 CORE, BLACK COLOUR</v>
      </c>
      <c r="E56" s="22">
        <v>100.0</v>
      </c>
      <c r="F56" s="20"/>
      <c r="G56" s="20"/>
      <c r="H56" s="20"/>
      <c r="I56" s="20"/>
      <c r="J56" s="20"/>
      <c r="K56" s="20"/>
      <c r="L56" s="20"/>
      <c r="M56" s="20"/>
      <c r="N56" s="20"/>
      <c r="O56" s="20"/>
      <c r="P56" s="20"/>
      <c r="Q56" s="20"/>
      <c r="R56" s="20"/>
      <c r="S56" s="20"/>
      <c r="T56" s="20"/>
      <c r="U56" s="20"/>
      <c r="V56" s="20"/>
      <c r="W56" s="20"/>
      <c r="X56" s="20"/>
      <c r="Y56" s="20"/>
      <c r="Z56" s="20"/>
    </row>
    <row r="57" ht="56.25" customHeight="1">
      <c r="A57" s="26">
        <v>56.0</v>
      </c>
      <c r="B57" s="21" t="s">
        <v>1</v>
      </c>
      <c r="C57" s="22">
        <v>4.324001E7</v>
      </c>
      <c r="D57" s="21" t="str">
        <f>VLOOKUP(C57,'PL NO.'!$B$3:$Q$374,4,0)</f>
        <v>MUSHROOM PUSH BUTTON ACTUATOR, 30.5MM, RED COLOUR TURN TO RELEASE</v>
      </c>
      <c r="E57" s="22">
        <v>5.0</v>
      </c>
      <c r="F57" s="20"/>
      <c r="G57" s="20"/>
      <c r="H57" s="20"/>
      <c r="I57" s="20"/>
      <c r="J57" s="20"/>
      <c r="K57" s="20"/>
      <c r="L57" s="20"/>
      <c r="M57" s="20"/>
      <c r="N57" s="20"/>
      <c r="O57" s="20"/>
      <c r="P57" s="20"/>
      <c r="Q57" s="20"/>
      <c r="R57" s="20"/>
      <c r="S57" s="20"/>
      <c r="T57" s="20"/>
      <c r="U57" s="20"/>
      <c r="V57" s="20"/>
      <c r="W57" s="20"/>
      <c r="X57" s="20"/>
      <c r="Y57" s="20"/>
      <c r="Z57" s="20"/>
    </row>
    <row r="58" ht="56.25" customHeight="1">
      <c r="A58" s="26">
        <v>57.0</v>
      </c>
      <c r="B58" s="21" t="s">
        <v>1</v>
      </c>
      <c r="C58" s="22">
        <v>4.2027913E7</v>
      </c>
      <c r="D58" s="21" t="str">
        <f>VLOOKUP(C58,'PL NO.'!$B$3:$Q$374,4,0)</f>
        <v>POWER CONTACTOR, MECHANICALLY INTERLOCKED FORWARD REVERSE, 16A, 24 AC</v>
      </c>
      <c r="E58" s="22">
        <v>5.0</v>
      </c>
      <c r="F58" s="20"/>
      <c r="G58" s="20"/>
      <c r="H58" s="20"/>
      <c r="I58" s="20"/>
      <c r="J58" s="20"/>
      <c r="K58" s="20"/>
      <c r="L58" s="20"/>
      <c r="M58" s="20"/>
      <c r="N58" s="20"/>
      <c r="O58" s="20"/>
      <c r="P58" s="20"/>
      <c r="Q58" s="20"/>
      <c r="R58" s="20"/>
      <c r="S58" s="20"/>
      <c r="T58" s="20"/>
      <c r="U58" s="20"/>
      <c r="V58" s="20"/>
      <c r="W58" s="20"/>
      <c r="X58" s="20"/>
      <c r="Y58" s="20"/>
      <c r="Z58" s="20"/>
    </row>
    <row r="59" ht="56.25" customHeight="1">
      <c r="A59" s="26">
        <v>58.0</v>
      </c>
      <c r="B59" s="21" t="s">
        <v>1</v>
      </c>
      <c r="C59" s="22">
        <v>4.724141E7</v>
      </c>
      <c r="D59" s="21" t="str">
        <f>VLOOKUP(C59,'PL NO.'!$B$3:$Q$374,4,0)</f>
        <v>MUSHROOM PUSH BUTTON ACTUATOR, RED COLOUR SPRING RETURN</v>
      </c>
      <c r="E59" s="22">
        <v>5.0</v>
      </c>
      <c r="F59" s="20"/>
      <c r="G59" s="20"/>
      <c r="H59" s="20"/>
      <c r="I59" s="20"/>
      <c r="J59" s="20"/>
      <c r="K59" s="20"/>
      <c r="L59" s="20"/>
      <c r="M59" s="20"/>
      <c r="N59" s="20"/>
      <c r="O59" s="20"/>
      <c r="P59" s="20"/>
      <c r="Q59" s="20"/>
      <c r="R59" s="20"/>
      <c r="S59" s="20"/>
      <c r="T59" s="20"/>
      <c r="U59" s="20"/>
      <c r="V59" s="20"/>
      <c r="W59" s="20"/>
      <c r="X59" s="20"/>
      <c r="Y59" s="20"/>
      <c r="Z59" s="20"/>
    </row>
    <row r="60" ht="56.25" customHeight="1">
      <c r="A60" s="26">
        <v>59.0</v>
      </c>
      <c r="B60" s="21" t="s">
        <v>1</v>
      </c>
      <c r="C60" s="22">
        <v>8.30494E7</v>
      </c>
      <c r="D60" s="21" t="str">
        <f>VLOOKUP(C60,'PL NO.'!$B$3:$Q$374,4,0)</f>
        <v>PAPER PHOTOCOPIER</v>
      </c>
      <c r="E60" s="22">
        <v>1.0</v>
      </c>
      <c r="F60" s="20"/>
      <c r="G60" s="20"/>
      <c r="H60" s="20"/>
      <c r="I60" s="20"/>
      <c r="J60" s="20"/>
      <c r="K60" s="20"/>
      <c r="L60" s="20"/>
      <c r="M60" s="20"/>
      <c r="N60" s="20"/>
      <c r="O60" s="20"/>
      <c r="P60" s="20"/>
      <c r="Q60" s="20"/>
      <c r="R60" s="20"/>
      <c r="S60" s="20"/>
      <c r="T60" s="20"/>
      <c r="U60" s="20"/>
      <c r="V60" s="20"/>
      <c r="W60" s="20"/>
      <c r="X60" s="20"/>
      <c r="Y60" s="20"/>
      <c r="Z60" s="20"/>
    </row>
    <row r="61" ht="56.25" customHeight="1">
      <c r="A61" s="26">
        <v>60.0</v>
      </c>
      <c r="B61" s="21" t="s">
        <v>1</v>
      </c>
      <c r="C61" s="22">
        <v>4.6090071E7</v>
      </c>
      <c r="D61" s="21" t="str">
        <f>VLOOKUP(C61,'PL NO.'!$B$3:$Q$374,4,0)</f>
        <v>THREE PHASE POWER CONTROLLER, 400A</v>
      </c>
      <c r="E61" s="22">
        <v>1.0</v>
      </c>
      <c r="F61" s="20"/>
      <c r="G61" s="20"/>
      <c r="H61" s="20"/>
      <c r="I61" s="20"/>
      <c r="J61" s="20"/>
      <c r="K61" s="20"/>
      <c r="L61" s="20"/>
      <c r="M61" s="20"/>
      <c r="N61" s="20"/>
      <c r="O61" s="20"/>
      <c r="P61" s="20"/>
      <c r="Q61" s="20"/>
      <c r="R61" s="20"/>
      <c r="S61" s="20"/>
      <c r="T61" s="20"/>
      <c r="U61" s="20"/>
      <c r="V61" s="20"/>
      <c r="W61" s="20"/>
      <c r="X61" s="20"/>
      <c r="Y61" s="20"/>
      <c r="Z61" s="20"/>
    </row>
    <row r="62" ht="56.25" customHeight="1">
      <c r="A62" s="26">
        <v>61.0</v>
      </c>
      <c r="B62" s="21" t="s">
        <v>2</v>
      </c>
      <c r="C62" s="22">
        <v>4.7050081E7</v>
      </c>
      <c r="D62" s="21" t="str">
        <f>VLOOKUP(C62,'PL NO.'!$B$3:$Q$374,4,0)</f>
        <v>10HP, 4P, 132M FOOT CUM FLANGE MOUNTED SQ CAGE INDUCTION MOTOR</v>
      </c>
      <c r="E62" s="22">
        <v>1.0</v>
      </c>
      <c r="F62" s="20"/>
      <c r="G62" s="20"/>
      <c r="H62" s="20"/>
      <c r="I62" s="20"/>
      <c r="J62" s="20"/>
      <c r="K62" s="20"/>
      <c r="L62" s="20"/>
      <c r="M62" s="20"/>
      <c r="N62" s="20"/>
      <c r="O62" s="20"/>
      <c r="P62" s="20"/>
      <c r="Q62" s="20"/>
      <c r="R62" s="20"/>
      <c r="S62" s="20"/>
      <c r="T62" s="20"/>
      <c r="U62" s="20"/>
      <c r="V62" s="20"/>
      <c r="W62" s="20"/>
      <c r="X62" s="20"/>
      <c r="Y62" s="20"/>
      <c r="Z62" s="20"/>
    </row>
    <row r="63" ht="56.25" customHeight="1">
      <c r="A63" s="26">
        <v>62.0</v>
      </c>
      <c r="B63" s="21" t="s">
        <v>2</v>
      </c>
      <c r="C63" s="22">
        <v>4.7050743E7</v>
      </c>
      <c r="D63" s="21" t="str">
        <f>VLOOKUP(C63,'PL NO.'!$B$3:$Q$374,4,0)</f>
        <v>25HP, 4P, 180M, FOOT MOUNTED SQ CAGE INDUCTION MOTOR</v>
      </c>
      <c r="E63" s="22">
        <v>1.0</v>
      </c>
      <c r="F63" s="20"/>
      <c r="G63" s="20"/>
      <c r="H63" s="20"/>
      <c r="I63" s="20"/>
      <c r="J63" s="20"/>
      <c r="K63" s="20"/>
      <c r="L63" s="20"/>
      <c r="M63" s="20"/>
      <c r="N63" s="20"/>
      <c r="O63" s="20"/>
      <c r="P63" s="20"/>
      <c r="Q63" s="20"/>
      <c r="R63" s="20"/>
      <c r="S63" s="20"/>
      <c r="T63" s="20"/>
      <c r="U63" s="20"/>
      <c r="V63" s="20"/>
      <c r="W63" s="20"/>
      <c r="X63" s="20"/>
      <c r="Y63" s="20"/>
      <c r="Z63" s="20"/>
    </row>
    <row r="64" ht="56.25" customHeight="1">
      <c r="A64" s="26">
        <v>63.0</v>
      </c>
      <c r="B64" s="21" t="s">
        <v>2</v>
      </c>
      <c r="C64" s="22">
        <v>4.7420479E7</v>
      </c>
      <c r="D64" s="21" t="str">
        <f>VLOOKUP(C64,'PL NO.'!$B$3:$Q$374,4,0)</f>
        <v>LIGHT DUTY OVER TRAVEL CONTROL UNIT</v>
      </c>
      <c r="E64" s="22">
        <v>10.0</v>
      </c>
      <c r="F64" s="20"/>
      <c r="G64" s="20"/>
      <c r="H64" s="20"/>
      <c r="I64" s="20"/>
      <c r="J64" s="20"/>
      <c r="K64" s="20"/>
      <c r="L64" s="20"/>
      <c r="M64" s="20"/>
      <c r="N64" s="20"/>
      <c r="O64" s="20"/>
      <c r="P64" s="20"/>
      <c r="Q64" s="20"/>
      <c r="R64" s="20"/>
      <c r="S64" s="20"/>
      <c r="T64" s="20"/>
      <c r="U64" s="20"/>
      <c r="V64" s="20"/>
      <c r="W64" s="20"/>
      <c r="X64" s="20"/>
      <c r="Y64" s="20"/>
      <c r="Z64" s="20"/>
    </row>
    <row r="65" ht="56.25" customHeight="1">
      <c r="A65" s="26">
        <v>64.0</v>
      </c>
      <c r="B65" s="21" t="s">
        <v>2</v>
      </c>
      <c r="C65" s="22">
        <v>4.2020116E7</v>
      </c>
      <c r="D65" s="21" t="str">
        <f>VLOOKUP(C65,'PL NO.'!$B$3:$Q$374,4,0)</f>
        <v>BCH LIMIT SWITCH</v>
      </c>
      <c r="E65" s="22">
        <v>10.0</v>
      </c>
      <c r="F65" s="20"/>
      <c r="G65" s="20"/>
      <c r="H65" s="20"/>
      <c r="I65" s="20"/>
      <c r="J65" s="20"/>
      <c r="K65" s="20"/>
      <c r="L65" s="20"/>
      <c r="M65" s="20"/>
      <c r="N65" s="20"/>
      <c r="O65" s="20"/>
      <c r="P65" s="20"/>
      <c r="Q65" s="20"/>
      <c r="R65" s="20"/>
      <c r="S65" s="20"/>
      <c r="T65" s="20"/>
      <c r="U65" s="20"/>
      <c r="V65" s="20"/>
      <c r="W65" s="20"/>
      <c r="X65" s="20"/>
      <c r="Y65" s="20"/>
      <c r="Z65" s="20"/>
    </row>
    <row r="66" ht="56.25" customHeight="1">
      <c r="A66" s="26">
        <v>65.0</v>
      </c>
      <c r="B66" s="21" t="s">
        <v>2</v>
      </c>
      <c r="C66" s="22">
        <v>4.2020128E7</v>
      </c>
      <c r="D66" s="21" t="str">
        <f>VLOOKUP(C66,'PL NO.'!$B$3:$Q$374,4,0)</f>
        <v>JAI BALAJI LIMIT SWITCH</v>
      </c>
      <c r="E66" s="22">
        <v>10.0</v>
      </c>
      <c r="F66" s="20"/>
      <c r="G66" s="20"/>
      <c r="H66" s="20"/>
      <c r="I66" s="20"/>
      <c r="J66" s="20"/>
      <c r="K66" s="20"/>
      <c r="L66" s="20"/>
      <c r="M66" s="20"/>
      <c r="N66" s="20"/>
      <c r="O66" s="20"/>
      <c r="P66" s="20"/>
      <c r="Q66" s="20"/>
      <c r="R66" s="20"/>
      <c r="S66" s="20"/>
      <c r="T66" s="20"/>
      <c r="U66" s="20"/>
      <c r="V66" s="20"/>
      <c r="W66" s="20"/>
      <c r="X66" s="20"/>
      <c r="Y66" s="20"/>
      <c r="Z66" s="20"/>
    </row>
    <row r="67" ht="56.25" customHeight="1">
      <c r="A67" s="26">
        <v>66.0</v>
      </c>
      <c r="B67" s="21" t="s">
        <v>2</v>
      </c>
      <c r="C67" s="22">
        <v>4.742034E7</v>
      </c>
      <c r="D67" s="21" t="str">
        <f>VLOOKUP(C67,'PL NO.'!$B$3:$Q$374,4,0)</f>
        <v>HEAVY DUTY OVER TRAVEL CONTROL UNIT</v>
      </c>
      <c r="E67" s="22">
        <v>9.0</v>
      </c>
      <c r="F67" s="20"/>
      <c r="G67" s="20"/>
      <c r="H67" s="20"/>
      <c r="I67" s="20"/>
      <c r="J67" s="20"/>
      <c r="K67" s="20"/>
      <c r="L67" s="20"/>
      <c r="M67" s="20"/>
      <c r="N67" s="20"/>
      <c r="O67" s="20"/>
      <c r="P67" s="20"/>
      <c r="Q67" s="20"/>
      <c r="R67" s="20"/>
      <c r="S67" s="20"/>
      <c r="T67" s="20"/>
      <c r="U67" s="20"/>
      <c r="V67" s="20"/>
      <c r="W67" s="20"/>
      <c r="X67" s="20"/>
      <c r="Y67" s="20"/>
      <c r="Z67" s="20"/>
    </row>
    <row r="68" ht="56.25" customHeight="1">
      <c r="A68" s="26">
        <v>67.0</v>
      </c>
      <c r="B68" s="21" t="s">
        <v>2</v>
      </c>
      <c r="C68" s="22">
        <v>4.7241275E7</v>
      </c>
      <c r="D68" s="21" t="str">
        <f>VLOOKUP(C68,'PL NO.'!$B$3:$Q$374,4,0)</f>
        <v>MCB 16AMPS, 3 POLE</v>
      </c>
      <c r="E68" s="22">
        <v>3.0</v>
      </c>
      <c r="F68" s="20"/>
      <c r="G68" s="20"/>
      <c r="H68" s="20"/>
      <c r="I68" s="20"/>
      <c r="J68" s="20"/>
      <c r="K68" s="20"/>
      <c r="L68" s="20"/>
      <c r="M68" s="20"/>
      <c r="N68" s="20"/>
      <c r="O68" s="20"/>
      <c r="P68" s="20"/>
      <c r="Q68" s="20"/>
      <c r="R68" s="20"/>
      <c r="S68" s="20"/>
      <c r="T68" s="20"/>
      <c r="U68" s="20"/>
      <c r="V68" s="20"/>
      <c r="W68" s="20"/>
      <c r="X68" s="20"/>
      <c r="Y68" s="20"/>
      <c r="Z68" s="20"/>
    </row>
    <row r="69" ht="56.25" customHeight="1">
      <c r="A69" s="26">
        <v>68.0</v>
      </c>
      <c r="B69" s="21" t="s">
        <v>2</v>
      </c>
      <c r="C69" s="22">
        <v>4.1077763E7</v>
      </c>
      <c r="D69" s="21" t="str">
        <f>VLOOKUP(C69,'PL NO.'!$B$3:$Q$374,4,0)</f>
        <v>PRESSURE SENSITIVE ADHESIVE PVC TAPES BLUE COLOUR</v>
      </c>
      <c r="E69" s="22">
        <v>50.0</v>
      </c>
      <c r="F69" s="20"/>
      <c r="G69" s="20"/>
      <c r="H69" s="20"/>
      <c r="I69" s="20"/>
      <c r="J69" s="20"/>
      <c r="K69" s="20"/>
      <c r="L69" s="20"/>
      <c r="M69" s="20"/>
      <c r="N69" s="20"/>
      <c r="O69" s="20"/>
      <c r="P69" s="20"/>
      <c r="Q69" s="20"/>
      <c r="R69" s="20"/>
      <c r="S69" s="20"/>
      <c r="T69" s="20"/>
      <c r="U69" s="20"/>
      <c r="V69" s="20"/>
      <c r="W69" s="20"/>
      <c r="X69" s="20"/>
      <c r="Y69" s="20"/>
      <c r="Z69" s="20"/>
    </row>
    <row r="70" ht="56.25" customHeight="1">
      <c r="A70" s="26">
        <v>69.0</v>
      </c>
      <c r="B70" s="21" t="s">
        <v>2</v>
      </c>
      <c r="C70" s="22">
        <v>4.7241329E7</v>
      </c>
      <c r="D70" s="21" t="str">
        <f>VLOOKUP(C70,'PL NO.'!$B$3:$Q$374,4,0)</f>
        <v>MPCB, RATED CURRENT 2.4A, CURRENT SETTING 1.6- 2.4A</v>
      </c>
      <c r="E70" s="22">
        <v>3.0</v>
      </c>
      <c r="F70" s="20"/>
      <c r="G70" s="20"/>
      <c r="H70" s="20"/>
      <c r="I70" s="20"/>
      <c r="J70" s="20"/>
      <c r="K70" s="20"/>
      <c r="L70" s="20"/>
      <c r="M70" s="20"/>
      <c r="N70" s="20"/>
      <c r="O70" s="20"/>
      <c r="P70" s="20"/>
      <c r="Q70" s="20"/>
      <c r="R70" s="20"/>
      <c r="S70" s="20"/>
      <c r="T70" s="20"/>
      <c r="U70" s="20"/>
      <c r="V70" s="20"/>
      <c r="W70" s="20"/>
      <c r="X70" s="20"/>
      <c r="Y70" s="20"/>
      <c r="Z70" s="20"/>
    </row>
    <row r="71" ht="56.25" customHeight="1">
      <c r="A71" s="26">
        <v>70.0</v>
      </c>
      <c r="B71" s="21" t="s">
        <v>2</v>
      </c>
      <c r="C71" s="22">
        <v>4.3900288E7</v>
      </c>
      <c r="D71" s="21" t="str">
        <f>VLOOKUP(C71,'PL NO.'!$B$3:$Q$374,4,0)</f>
        <v>MPCB, RATED CURRENT 4A, CURRENT SETTING 2.4- 4A</v>
      </c>
      <c r="E71" s="22">
        <v>3.0</v>
      </c>
      <c r="F71" s="20"/>
      <c r="G71" s="20"/>
      <c r="H71" s="20"/>
      <c r="I71" s="20"/>
      <c r="J71" s="20"/>
      <c r="K71" s="20"/>
      <c r="L71" s="20"/>
      <c r="M71" s="20"/>
      <c r="N71" s="20"/>
      <c r="O71" s="20"/>
      <c r="P71" s="20"/>
      <c r="Q71" s="20"/>
      <c r="R71" s="20"/>
      <c r="S71" s="20"/>
      <c r="T71" s="20"/>
      <c r="U71" s="20"/>
      <c r="V71" s="20"/>
      <c r="W71" s="20"/>
      <c r="X71" s="20"/>
      <c r="Y71" s="20"/>
      <c r="Z71" s="20"/>
    </row>
    <row r="72" ht="56.25" customHeight="1">
      <c r="A72" s="26">
        <v>71.0</v>
      </c>
      <c r="B72" s="21" t="s">
        <v>2</v>
      </c>
      <c r="C72" s="22">
        <v>4.7241512E7</v>
      </c>
      <c r="D72" s="21" t="str">
        <f>VLOOKUP(C72,'PL NO.'!$B$3:$Q$374,4,0)</f>
        <v>MPCB, RATED CURRENT 6A, CURRENT SETTING 4- 6A</v>
      </c>
      <c r="E72" s="22">
        <v>3.0</v>
      </c>
      <c r="F72" s="20"/>
      <c r="G72" s="20"/>
      <c r="H72" s="20"/>
      <c r="I72" s="20"/>
      <c r="J72" s="20"/>
      <c r="K72" s="20"/>
      <c r="L72" s="20"/>
      <c r="M72" s="20"/>
      <c r="N72" s="20"/>
      <c r="O72" s="20"/>
      <c r="P72" s="20"/>
      <c r="Q72" s="20"/>
      <c r="R72" s="20"/>
      <c r="S72" s="20"/>
      <c r="T72" s="20"/>
      <c r="U72" s="20"/>
      <c r="V72" s="20"/>
      <c r="W72" s="20"/>
      <c r="X72" s="20"/>
      <c r="Y72" s="20"/>
      <c r="Z72" s="20"/>
    </row>
    <row r="73" ht="56.25" customHeight="1">
      <c r="A73" s="26">
        <v>72.0</v>
      </c>
      <c r="B73" s="21" t="s">
        <v>2</v>
      </c>
      <c r="C73" s="22">
        <v>4.7241317E7</v>
      </c>
      <c r="D73" s="21" t="str">
        <f>VLOOKUP(C73,'PL NO.'!$B$3:$Q$374,4,0)</f>
        <v>MPCB, RATED CURRENT 13A, CURRENT SETTING 8- 13A</v>
      </c>
      <c r="E73" s="22">
        <v>3.0</v>
      </c>
      <c r="F73" s="20"/>
      <c r="G73" s="20"/>
      <c r="H73" s="20"/>
      <c r="I73" s="20"/>
      <c r="J73" s="20"/>
      <c r="K73" s="20"/>
      <c r="L73" s="20"/>
      <c r="M73" s="20"/>
      <c r="N73" s="20"/>
      <c r="O73" s="20"/>
      <c r="P73" s="20"/>
      <c r="Q73" s="20"/>
      <c r="R73" s="20"/>
      <c r="S73" s="20"/>
      <c r="T73" s="20"/>
      <c r="U73" s="20"/>
      <c r="V73" s="20"/>
      <c r="W73" s="20"/>
      <c r="X73" s="20"/>
      <c r="Y73" s="20"/>
      <c r="Z73" s="20"/>
    </row>
    <row r="74" ht="56.25" customHeight="1">
      <c r="A74" s="26">
        <v>73.0</v>
      </c>
      <c r="B74" s="21" t="s">
        <v>2</v>
      </c>
      <c r="C74" s="22">
        <v>4.7241299E7</v>
      </c>
      <c r="D74" s="21" t="str">
        <f>VLOOKUP(C74,'PL NO.'!$B$3:$Q$374,4,0)</f>
        <v>MPCB, RATED CURRENT 16A, CURRENT SETTING 10- 16A</v>
      </c>
      <c r="E74" s="22">
        <v>3.0</v>
      </c>
      <c r="F74" s="20"/>
      <c r="G74" s="20"/>
      <c r="H74" s="20"/>
      <c r="I74" s="20"/>
      <c r="J74" s="20"/>
      <c r="K74" s="20"/>
      <c r="L74" s="20"/>
      <c r="M74" s="20"/>
      <c r="N74" s="20"/>
      <c r="O74" s="20"/>
      <c r="P74" s="20"/>
      <c r="Q74" s="20"/>
      <c r="R74" s="20"/>
      <c r="S74" s="20"/>
      <c r="T74" s="20"/>
      <c r="U74" s="20"/>
      <c r="V74" s="20"/>
      <c r="W74" s="20"/>
      <c r="X74" s="20"/>
      <c r="Y74" s="20"/>
      <c r="Z74" s="20"/>
    </row>
    <row r="75" ht="56.25" customHeight="1">
      <c r="A75" s="26">
        <v>74.0</v>
      </c>
      <c r="B75" s="21" t="s">
        <v>712</v>
      </c>
      <c r="C75" s="22">
        <v>7.5909273E7</v>
      </c>
      <c r="D75" s="21" t="str">
        <f>VLOOKUP(C75,'PL NO.'!$B$3:$Q$374,4,0)</f>
        <v>DUST RESPIRATER</v>
      </c>
      <c r="E75" s="22">
        <v>300.0</v>
      </c>
      <c r="F75" s="20"/>
      <c r="G75" s="20"/>
      <c r="H75" s="20"/>
      <c r="I75" s="20"/>
      <c r="J75" s="20"/>
      <c r="K75" s="20"/>
      <c r="L75" s="20"/>
      <c r="M75" s="20"/>
      <c r="N75" s="20"/>
      <c r="O75" s="20"/>
      <c r="P75" s="20"/>
      <c r="Q75" s="20"/>
      <c r="R75" s="20"/>
      <c r="S75" s="20"/>
      <c r="T75" s="20"/>
      <c r="U75" s="20"/>
      <c r="V75" s="20"/>
      <c r="W75" s="20"/>
      <c r="X75" s="20"/>
      <c r="Y75" s="20"/>
      <c r="Z75" s="20"/>
    </row>
    <row r="76" ht="56.25" customHeight="1">
      <c r="A76" s="26">
        <v>75.0</v>
      </c>
      <c r="B76" s="21" t="s">
        <v>712</v>
      </c>
      <c r="C76" s="22">
        <v>7.5201318E7</v>
      </c>
      <c r="D76" s="21" t="str">
        <f>VLOOKUP(C76,'PL NO.'!$B$3:$Q$374,4,0)</f>
        <v>BLUE KNIT GLOVES</v>
      </c>
      <c r="E76" s="22">
        <v>300.0</v>
      </c>
      <c r="F76" s="20"/>
      <c r="G76" s="20"/>
      <c r="H76" s="20"/>
      <c r="I76" s="20"/>
      <c r="J76" s="20"/>
      <c r="K76" s="20"/>
      <c r="L76" s="20"/>
      <c r="M76" s="20"/>
      <c r="N76" s="20"/>
      <c r="O76" s="20"/>
      <c r="P76" s="20"/>
      <c r="Q76" s="20"/>
      <c r="R76" s="20"/>
      <c r="S76" s="20"/>
      <c r="T76" s="20"/>
      <c r="U76" s="20"/>
      <c r="V76" s="20"/>
      <c r="W76" s="20"/>
      <c r="X76" s="20"/>
      <c r="Y76" s="20"/>
      <c r="Z76" s="20"/>
    </row>
    <row r="77" ht="56.25" customHeight="1">
      <c r="A77" s="26">
        <v>76.0</v>
      </c>
      <c r="B77" s="21" t="s">
        <v>712</v>
      </c>
      <c r="C77" s="22">
        <v>8.1140022E7</v>
      </c>
      <c r="D77" s="21" t="str">
        <f>VLOOKUP(C77,'PL NO.'!$B$3:$Q$374,4,0)</f>
        <v>SOAP TOILET IN 150 GRAMS</v>
      </c>
      <c r="E77" s="22">
        <v>150.0</v>
      </c>
      <c r="F77" s="20"/>
      <c r="G77" s="20"/>
      <c r="H77" s="20"/>
      <c r="I77" s="20"/>
      <c r="J77" s="20"/>
      <c r="K77" s="20"/>
      <c r="L77" s="20"/>
      <c r="M77" s="20"/>
      <c r="N77" s="20"/>
      <c r="O77" s="20"/>
      <c r="P77" s="20"/>
      <c r="Q77" s="20"/>
      <c r="R77" s="20"/>
      <c r="S77" s="20"/>
      <c r="T77" s="20"/>
      <c r="U77" s="20"/>
      <c r="V77" s="20"/>
      <c r="W77" s="20"/>
      <c r="X77" s="20"/>
      <c r="Y77" s="20"/>
      <c r="Z77" s="20"/>
    </row>
    <row r="78" ht="56.25" customHeight="1">
      <c r="A78" s="26">
        <v>77.0</v>
      </c>
      <c r="B78" s="21" t="s">
        <v>712</v>
      </c>
      <c r="C78" s="22">
        <v>8.1050811E7</v>
      </c>
      <c r="D78" s="21" t="str">
        <f>VLOOKUP(C78,'PL NO.'!$B$3:$Q$374,4,0)</f>
        <v>SOAP TOILET IN 125 GRAMS</v>
      </c>
      <c r="E78" s="22">
        <v>600.0</v>
      </c>
      <c r="F78" s="20"/>
      <c r="G78" s="20"/>
      <c r="H78" s="20"/>
      <c r="I78" s="20"/>
      <c r="J78" s="20"/>
      <c r="K78" s="20"/>
      <c r="L78" s="20"/>
      <c r="M78" s="20"/>
      <c r="N78" s="20"/>
      <c r="O78" s="20"/>
      <c r="P78" s="20"/>
      <c r="Q78" s="20"/>
      <c r="R78" s="20"/>
      <c r="S78" s="20"/>
      <c r="T78" s="20"/>
      <c r="U78" s="20"/>
      <c r="V78" s="20"/>
      <c r="W78" s="20"/>
      <c r="X78" s="20"/>
      <c r="Y78" s="20"/>
      <c r="Z78" s="20"/>
    </row>
    <row r="79" ht="56.25" customHeight="1">
      <c r="A79" s="26">
        <v>78.0</v>
      </c>
      <c r="B79" s="21" t="s">
        <v>712</v>
      </c>
      <c r="C79" s="22">
        <v>7.59087E7</v>
      </c>
      <c r="D79" s="21" t="str">
        <f>VLOOKUP(C79,'PL NO.'!$B$3:$Q$374,4,0)</f>
        <v>EAR PLUGS</v>
      </c>
      <c r="E79" s="22">
        <v>300.0</v>
      </c>
      <c r="F79" s="20"/>
      <c r="G79" s="20"/>
      <c r="H79" s="20"/>
      <c r="I79" s="20"/>
      <c r="J79" s="20"/>
      <c r="K79" s="20"/>
      <c r="L79" s="20"/>
      <c r="M79" s="20"/>
      <c r="N79" s="20"/>
      <c r="O79" s="20"/>
      <c r="P79" s="20"/>
      <c r="Q79" s="20"/>
      <c r="R79" s="20"/>
      <c r="S79" s="20"/>
      <c r="T79" s="20"/>
      <c r="U79" s="20"/>
      <c r="V79" s="20"/>
      <c r="W79" s="20"/>
      <c r="X79" s="20"/>
      <c r="Y79" s="20"/>
      <c r="Z79" s="20"/>
    </row>
    <row r="80" ht="56.25" customHeight="1">
      <c r="A80" s="26">
        <v>79.0</v>
      </c>
      <c r="B80" s="21" t="s">
        <v>712</v>
      </c>
      <c r="C80" s="22">
        <v>7.9010805E7</v>
      </c>
      <c r="D80" s="21" t="str">
        <f>VLOOKUP(C80,'PL NO.'!$B$3:$Q$374,4,0)</f>
        <v>CLOTH KHADI BLUE 91CMS</v>
      </c>
      <c r="E80" s="22">
        <v>100.0</v>
      </c>
      <c r="F80" s="20"/>
      <c r="G80" s="20"/>
      <c r="H80" s="20"/>
      <c r="I80" s="20"/>
      <c r="J80" s="20"/>
      <c r="K80" s="20"/>
      <c r="L80" s="20"/>
      <c r="M80" s="20"/>
      <c r="N80" s="20"/>
      <c r="O80" s="20"/>
      <c r="P80" s="20"/>
      <c r="Q80" s="20"/>
      <c r="R80" s="20"/>
      <c r="S80" s="20"/>
      <c r="T80" s="20"/>
      <c r="U80" s="20"/>
      <c r="V80" s="20"/>
      <c r="W80" s="20"/>
      <c r="X80" s="20"/>
      <c r="Y80" s="20"/>
      <c r="Z80" s="20"/>
    </row>
    <row r="81" ht="56.25" customHeight="1">
      <c r="A81" s="26">
        <v>80.0</v>
      </c>
      <c r="B81" s="21" t="s">
        <v>2</v>
      </c>
      <c r="C81" s="22">
        <v>4.2110373E7</v>
      </c>
      <c r="D81" s="21" t="str">
        <f>VLOOKUP(C81,'PL NO.'!$B$3:$Q$374,4,0)</f>
        <v>15 WATT LED FLOOD LIGHT</v>
      </c>
      <c r="E81" s="22">
        <v>2.0</v>
      </c>
      <c r="F81" s="20"/>
      <c r="G81" s="20"/>
      <c r="H81" s="20"/>
      <c r="I81" s="20"/>
      <c r="J81" s="20"/>
      <c r="K81" s="20"/>
      <c r="L81" s="20"/>
      <c r="M81" s="20"/>
      <c r="N81" s="20"/>
      <c r="O81" s="20"/>
      <c r="P81" s="20"/>
      <c r="Q81" s="20"/>
      <c r="R81" s="20"/>
      <c r="S81" s="20"/>
      <c r="T81" s="20"/>
      <c r="U81" s="20"/>
      <c r="V81" s="20"/>
      <c r="W81" s="20"/>
      <c r="X81" s="20"/>
      <c r="Y81" s="20"/>
      <c r="Z81" s="20"/>
    </row>
    <row r="82" ht="56.25" customHeight="1">
      <c r="A82" s="26">
        <v>81.0</v>
      </c>
      <c r="B82" s="21" t="s">
        <v>2</v>
      </c>
      <c r="C82" s="22">
        <v>4.7050925E7</v>
      </c>
      <c r="D82" s="21" t="str">
        <f>VLOOKUP(C82,'PL NO.'!$B$3:$Q$374,4,0)</f>
        <v>7.5HP, 4P, 132S, FOOT MOUNTED SQ CAGE INDUCTION MOTOR</v>
      </c>
      <c r="E82" s="22">
        <v>2.0</v>
      </c>
      <c r="F82" s="20"/>
      <c r="G82" s="20"/>
      <c r="H82" s="20"/>
      <c r="I82" s="20"/>
      <c r="J82" s="20"/>
      <c r="K82" s="20"/>
      <c r="L82" s="20"/>
      <c r="M82" s="20"/>
      <c r="N82" s="20"/>
      <c r="O82" s="20"/>
      <c r="P82" s="20"/>
      <c r="Q82" s="20"/>
      <c r="R82" s="20"/>
      <c r="S82" s="20"/>
      <c r="T82" s="20"/>
      <c r="U82" s="20"/>
      <c r="V82" s="20"/>
      <c r="W82" s="20"/>
      <c r="X82" s="20"/>
      <c r="Y82" s="20"/>
      <c r="Z82" s="20"/>
    </row>
    <row r="83" ht="56.25" customHeight="1">
      <c r="A83" s="26">
        <v>82.0</v>
      </c>
      <c r="B83" s="21" t="s">
        <v>2</v>
      </c>
      <c r="C83" s="22">
        <v>4.705007E7</v>
      </c>
      <c r="D83" s="21" t="str">
        <f>VLOOKUP(C83,'PL NO.'!$B$3:$Q$374,4,0)</f>
        <v>50HP, 4P, 225S FOOT MOUNTED SQ CAGE INDUCTION MOTOR</v>
      </c>
      <c r="E83" s="22">
        <v>1.0</v>
      </c>
      <c r="F83" s="20"/>
      <c r="G83" s="20"/>
      <c r="H83" s="20"/>
      <c r="I83" s="20"/>
      <c r="J83" s="20"/>
      <c r="K83" s="20"/>
      <c r="L83" s="20"/>
      <c r="M83" s="20"/>
      <c r="N83" s="20"/>
      <c r="O83" s="20"/>
      <c r="P83" s="20"/>
      <c r="Q83" s="20"/>
      <c r="R83" s="20"/>
      <c r="S83" s="20"/>
      <c r="T83" s="20"/>
      <c r="U83" s="20"/>
      <c r="V83" s="20"/>
      <c r="W83" s="20"/>
      <c r="X83" s="20"/>
      <c r="Y83" s="20"/>
      <c r="Z83" s="20"/>
    </row>
    <row r="84" ht="56.25" customHeight="1">
      <c r="A84" s="26">
        <v>83.0</v>
      </c>
      <c r="B84" s="21" t="s">
        <v>712</v>
      </c>
      <c r="C84" s="22">
        <v>8.30494E7</v>
      </c>
      <c r="D84" s="21" t="str">
        <f>VLOOKUP(C84,'PL NO.'!$B$3:$Q$374,4,0)</f>
        <v>PAPER PHOTOCOPIER</v>
      </c>
      <c r="E84" s="22">
        <v>5.0</v>
      </c>
      <c r="F84" s="20"/>
      <c r="G84" s="20"/>
      <c r="H84" s="20"/>
      <c r="I84" s="20"/>
      <c r="J84" s="20"/>
      <c r="K84" s="20"/>
      <c r="L84" s="20"/>
      <c r="M84" s="20"/>
      <c r="N84" s="20"/>
      <c r="O84" s="20"/>
      <c r="P84" s="20"/>
      <c r="Q84" s="20"/>
      <c r="R84" s="20"/>
      <c r="S84" s="20"/>
      <c r="T84" s="20"/>
      <c r="U84" s="20"/>
      <c r="V84" s="20"/>
      <c r="W84" s="20"/>
      <c r="X84" s="20"/>
      <c r="Y84" s="20"/>
      <c r="Z84" s="20"/>
    </row>
    <row r="85" ht="56.25" customHeight="1">
      <c r="A85" s="26">
        <v>84.0</v>
      </c>
      <c r="B85" s="21" t="s">
        <v>0</v>
      </c>
      <c r="C85" s="22">
        <v>8.30494E7</v>
      </c>
      <c r="D85" s="21" t="str">
        <f>VLOOKUP(C85,'PL NO.'!$B$3:$Q$374,4,0)</f>
        <v>PAPER PHOTOCOPIER</v>
      </c>
      <c r="E85" s="22">
        <v>1.0</v>
      </c>
      <c r="F85" s="20"/>
      <c r="G85" s="20"/>
      <c r="H85" s="20"/>
      <c r="I85" s="20"/>
      <c r="J85" s="20"/>
      <c r="K85" s="20"/>
      <c r="L85" s="20"/>
      <c r="M85" s="20"/>
      <c r="N85" s="20"/>
      <c r="O85" s="20"/>
      <c r="P85" s="20"/>
      <c r="Q85" s="20"/>
      <c r="R85" s="20"/>
      <c r="S85" s="20"/>
      <c r="T85" s="20"/>
      <c r="U85" s="20"/>
      <c r="V85" s="20"/>
      <c r="W85" s="20"/>
      <c r="X85" s="20"/>
      <c r="Y85" s="20"/>
      <c r="Z85" s="20"/>
    </row>
    <row r="86" ht="56.25" customHeight="1">
      <c r="A86" s="26">
        <v>85.0</v>
      </c>
      <c r="B86" s="21" t="s">
        <v>2</v>
      </c>
      <c r="C86" s="22">
        <v>8.30494E7</v>
      </c>
      <c r="D86" s="21" t="str">
        <f>VLOOKUP(C86,'PL NO.'!$B$3:$Q$374,4,0)</f>
        <v>PAPER PHOTOCOPIER</v>
      </c>
      <c r="E86" s="22">
        <v>1.0</v>
      </c>
      <c r="F86" s="20"/>
      <c r="G86" s="20"/>
      <c r="H86" s="20"/>
      <c r="I86" s="20"/>
      <c r="J86" s="20"/>
      <c r="K86" s="20"/>
      <c r="L86" s="20"/>
      <c r="M86" s="20"/>
      <c r="N86" s="20"/>
      <c r="O86" s="20"/>
      <c r="P86" s="20"/>
      <c r="Q86" s="20"/>
      <c r="R86" s="20"/>
      <c r="S86" s="20"/>
      <c r="T86" s="20"/>
      <c r="U86" s="20"/>
      <c r="V86" s="20"/>
      <c r="W86" s="20"/>
      <c r="X86" s="20"/>
      <c r="Y86" s="20"/>
      <c r="Z86" s="20"/>
    </row>
    <row r="87" ht="56.25" customHeight="1">
      <c r="A87" s="26">
        <v>86.0</v>
      </c>
      <c r="B87" s="21" t="s">
        <v>2</v>
      </c>
      <c r="C87" s="22">
        <v>4.2350013E7</v>
      </c>
      <c r="D87" s="21" t="str">
        <f>VLOOKUP(C87,'PL NO.'!$B$3:$Q$374,4,0)</f>
        <v>SET OF PLUG &amp; SOCKET 24PIN</v>
      </c>
      <c r="E87" s="22">
        <v>4.0</v>
      </c>
      <c r="F87" s="20"/>
      <c r="G87" s="20"/>
      <c r="H87" s="20"/>
      <c r="I87" s="20"/>
      <c r="J87" s="20"/>
      <c r="K87" s="20"/>
      <c r="L87" s="20"/>
      <c r="M87" s="20"/>
      <c r="N87" s="20"/>
      <c r="O87" s="20"/>
      <c r="P87" s="20"/>
      <c r="Q87" s="20"/>
      <c r="R87" s="20"/>
      <c r="S87" s="20"/>
      <c r="T87" s="20"/>
      <c r="U87" s="20"/>
      <c r="V87" s="20"/>
      <c r="W87" s="20"/>
      <c r="X87" s="20"/>
      <c r="Y87" s="20"/>
      <c r="Z87" s="20"/>
    </row>
    <row r="88" ht="56.25" customHeight="1">
      <c r="A88" s="26">
        <v>87.0</v>
      </c>
      <c r="B88" s="21" t="s">
        <v>0</v>
      </c>
      <c r="C88" s="22">
        <v>4.2089219E7</v>
      </c>
      <c r="D88" s="21" t="str">
        <f>VLOOKUP(C88,'PL NO.'!$B$3:$Q$374,4,0)</f>
        <v>HRC FUSES 80A</v>
      </c>
      <c r="E88" s="22">
        <v>5.0</v>
      </c>
      <c r="F88" s="20"/>
      <c r="G88" s="20"/>
      <c r="H88" s="20"/>
      <c r="I88" s="20"/>
      <c r="J88" s="20"/>
      <c r="K88" s="20"/>
      <c r="L88" s="20"/>
      <c r="M88" s="20"/>
      <c r="N88" s="20"/>
      <c r="O88" s="20"/>
      <c r="P88" s="20"/>
      <c r="Q88" s="20"/>
      <c r="R88" s="20"/>
      <c r="S88" s="20"/>
      <c r="T88" s="20"/>
      <c r="U88" s="20"/>
      <c r="V88" s="20"/>
      <c r="W88" s="20"/>
      <c r="X88" s="20"/>
      <c r="Y88" s="20"/>
      <c r="Z88" s="20"/>
    </row>
    <row r="89" ht="56.25" customHeight="1">
      <c r="A89" s="26">
        <v>88.0</v>
      </c>
      <c r="B89" s="21" t="s">
        <v>0</v>
      </c>
      <c r="C89" s="22">
        <v>4.7241172E7</v>
      </c>
      <c r="D89" s="21" t="str">
        <f>VLOOKUP(C89,'PL NO.'!$B$3:$Q$374,4,0)</f>
        <v>OIL TIGHT INDICATING LIGHTS, 30.5MM, 110V, IN FIVE COLOURES(RED,BLUE,AMBER,GREEN,CLEAR)</v>
      </c>
      <c r="E89" s="22">
        <v>10.0</v>
      </c>
      <c r="F89" s="20"/>
      <c r="G89" s="20"/>
      <c r="H89" s="20"/>
      <c r="I89" s="20"/>
      <c r="J89" s="20"/>
      <c r="K89" s="20"/>
      <c r="L89" s="20"/>
      <c r="M89" s="20"/>
      <c r="N89" s="20"/>
      <c r="O89" s="20"/>
      <c r="P89" s="20"/>
      <c r="Q89" s="20"/>
      <c r="R89" s="20"/>
      <c r="S89" s="20"/>
      <c r="T89" s="20"/>
      <c r="U89" s="20"/>
      <c r="V89" s="20"/>
      <c r="W89" s="20"/>
      <c r="X89" s="20"/>
      <c r="Y89" s="20"/>
      <c r="Z89" s="20"/>
    </row>
    <row r="90" ht="56.25" customHeight="1">
      <c r="A90" s="26">
        <v>89.0</v>
      </c>
      <c r="B90" s="21" t="s">
        <v>712</v>
      </c>
      <c r="C90" s="22">
        <v>4.0124794E7</v>
      </c>
      <c r="D90" s="21" t="str">
        <f>VLOOKUP(C90,'PL NO.'!$B$3:$Q$374,4,0)</f>
        <v>COPPER CABLE, 1 SQ.MM TEFLON INSULATED, RED COLOUR</v>
      </c>
      <c r="E90" s="22">
        <v>500.0</v>
      </c>
      <c r="F90" s="20"/>
      <c r="G90" s="20"/>
      <c r="H90" s="20"/>
      <c r="I90" s="20"/>
      <c r="J90" s="20"/>
      <c r="K90" s="20"/>
      <c r="L90" s="20"/>
      <c r="M90" s="20"/>
      <c r="N90" s="20"/>
      <c r="O90" s="20"/>
      <c r="P90" s="20"/>
      <c r="Q90" s="20"/>
      <c r="R90" s="20"/>
      <c r="S90" s="20"/>
      <c r="T90" s="20"/>
      <c r="U90" s="20"/>
      <c r="V90" s="20"/>
      <c r="W90" s="20"/>
      <c r="X90" s="20"/>
      <c r="Y90" s="20"/>
      <c r="Z90" s="20"/>
    </row>
    <row r="91" ht="56.25" customHeight="1">
      <c r="A91" s="26">
        <v>90.0</v>
      </c>
      <c r="B91" s="21" t="s">
        <v>1</v>
      </c>
      <c r="C91" s="22">
        <v>4.3010076E7</v>
      </c>
      <c r="D91" s="21" t="str">
        <f>VLOOKUP(C91,'PL NO.'!$B$3:$Q$374,4,0)</f>
        <v>HEATER CARTRIDGES 1500W FOR CORE BAKING</v>
      </c>
      <c r="E91" s="22">
        <v>60.0</v>
      </c>
      <c r="F91" s="20"/>
      <c r="G91" s="20"/>
      <c r="H91" s="20"/>
      <c r="I91" s="20"/>
      <c r="J91" s="20"/>
      <c r="K91" s="20"/>
      <c r="L91" s="20"/>
      <c r="M91" s="20"/>
      <c r="N91" s="20"/>
      <c r="O91" s="20"/>
      <c r="P91" s="20"/>
      <c r="Q91" s="20"/>
      <c r="R91" s="20"/>
      <c r="S91" s="20"/>
      <c r="T91" s="20"/>
      <c r="U91" s="20"/>
      <c r="V91" s="20"/>
      <c r="W91" s="20"/>
      <c r="X91" s="20"/>
      <c r="Y91" s="20"/>
      <c r="Z91" s="20"/>
    </row>
    <row r="92" ht="56.25" customHeight="1">
      <c r="A92" s="24"/>
      <c r="B92" s="24"/>
      <c r="C92" s="24"/>
      <c r="D92" s="24"/>
      <c r="E92" s="25"/>
      <c r="F92" s="20"/>
      <c r="G92" s="20"/>
      <c r="H92" s="20"/>
      <c r="I92" s="20"/>
      <c r="J92" s="20"/>
      <c r="K92" s="20"/>
      <c r="L92" s="20"/>
      <c r="M92" s="20"/>
      <c r="N92" s="20"/>
      <c r="O92" s="20"/>
      <c r="P92" s="20"/>
      <c r="Q92" s="20"/>
      <c r="R92" s="20"/>
      <c r="S92" s="20"/>
      <c r="T92" s="20"/>
      <c r="U92" s="20"/>
      <c r="V92" s="20"/>
      <c r="W92" s="20"/>
      <c r="X92" s="20"/>
      <c r="Y92" s="20"/>
      <c r="Z92" s="20"/>
    </row>
    <row r="93" ht="56.25" customHeight="1">
      <c r="A93" s="24"/>
      <c r="B93" s="24"/>
      <c r="C93" s="24"/>
      <c r="D93" s="24"/>
      <c r="E93" s="25"/>
      <c r="F93" s="20"/>
      <c r="G93" s="20"/>
      <c r="H93" s="20"/>
      <c r="I93" s="20"/>
      <c r="J93" s="20"/>
      <c r="K93" s="20"/>
      <c r="L93" s="20"/>
      <c r="M93" s="20"/>
      <c r="N93" s="20"/>
      <c r="O93" s="20"/>
      <c r="P93" s="20"/>
      <c r="Q93" s="20"/>
      <c r="R93" s="20"/>
      <c r="S93" s="20"/>
      <c r="T93" s="20"/>
      <c r="U93" s="20"/>
      <c r="V93" s="20"/>
      <c r="W93" s="20"/>
      <c r="X93" s="20"/>
      <c r="Y93" s="20"/>
      <c r="Z93" s="20"/>
    </row>
    <row r="94" ht="56.25" customHeight="1">
      <c r="A94" s="24"/>
      <c r="B94" s="24"/>
      <c r="C94" s="24"/>
      <c r="D94" s="24"/>
      <c r="E94" s="25"/>
      <c r="F94" s="20"/>
      <c r="G94" s="20"/>
      <c r="H94" s="20"/>
      <c r="I94" s="20"/>
      <c r="J94" s="20"/>
      <c r="K94" s="20"/>
      <c r="L94" s="20"/>
      <c r="M94" s="20"/>
      <c r="N94" s="20"/>
      <c r="O94" s="20"/>
      <c r="P94" s="20"/>
      <c r="Q94" s="20"/>
      <c r="R94" s="20"/>
      <c r="S94" s="20"/>
      <c r="T94" s="20"/>
      <c r="U94" s="20"/>
      <c r="V94" s="20"/>
      <c r="W94" s="20"/>
      <c r="X94" s="20"/>
      <c r="Y94" s="20"/>
      <c r="Z94" s="20"/>
    </row>
    <row r="95" ht="56.25" customHeight="1">
      <c r="A95" s="24"/>
      <c r="B95" s="24"/>
      <c r="C95" s="24"/>
      <c r="D95" s="24"/>
      <c r="E95" s="25"/>
      <c r="F95" s="20"/>
      <c r="G95" s="20"/>
      <c r="H95" s="20"/>
      <c r="I95" s="20"/>
      <c r="J95" s="20"/>
      <c r="K95" s="20"/>
      <c r="L95" s="20"/>
      <c r="M95" s="20"/>
      <c r="N95" s="20"/>
      <c r="O95" s="20"/>
      <c r="P95" s="20"/>
      <c r="Q95" s="20"/>
      <c r="R95" s="20"/>
      <c r="S95" s="20"/>
      <c r="T95" s="20"/>
      <c r="U95" s="20"/>
      <c r="V95" s="20"/>
      <c r="W95" s="20"/>
      <c r="X95" s="20"/>
      <c r="Y95" s="20"/>
      <c r="Z95" s="20"/>
    </row>
    <row r="96" ht="56.25" customHeight="1">
      <c r="A96" s="24"/>
      <c r="B96" s="24"/>
      <c r="C96" s="24"/>
      <c r="D96" s="24"/>
      <c r="E96" s="25"/>
      <c r="F96" s="20"/>
      <c r="G96" s="20"/>
      <c r="H96" s="20"/>
      <c r="I96" s="20"/>
      <c r="J96" s="20"/>
      <c r="K96" s="20"/>
      <c r="L96" s="20"/>
      <c r="M96" s="20"/>
      <c r="N96" s="20"/>
      <c r="O96" s="20"/>
      <c r="P96" s="20"/>
      <c r="Q96" s="20"/>
      <c r="R96" s="20"/>
      <c r="S96" s="20"/>
      <c r="T96" s="20"/>
      <c r="U96" s="20"/>
      <c r="V96" s="20"/>
      <c r="W96" s="20"/>
      <c r="X96" s="20"/>
      <c r="Y96" s="20"/>
      <c r="Z96" s="20"/>
    </row>
    <row r="97" ht="56.25" customHeight="1">
      <c r="A97" s="24"/>
      <c r="B97" s="24"/>
      <c r="C97" s="24"/>
      <c r="D97" s="24"/>
      <c r="E97" s="25"/>
      <c r="F97" s="20"/>
      <c r="G97" s="20"/>
      <c r="H97" s="20"/>
      <c r="I97" s="20"/>
      <c r="J97" s="20"/>
      <c r="K97" s="20"/>
      <c r="L97" s="20"/>
      <c r="M97" s="20"/>
      <c r="N97" s="20"/>
      <c r="O97" s="20"/>
      <c r="P97" s="20"/>
      <c r="Q97" s="20"/>
      <c r="R97" s="20"/>
      <c r="S97" s="20"/>
      <c r="T97" s="20"/>
      <c r="U97" s="20"/>
      <c r="V97" s="20"/>
      <c r="W97" s="20"/>
      <c r="X97" s="20"/>
      <c r="Y97" s="20"/>
      <c r="Z97" s="20"/>
    </row>
    <row r="98" ht="56.25" customHeight="1">
      <c r="A98" s="24"/>
      <c r="B98" s="24"/>
      <c r="C98" s="24"/>
      <c r="D98" s="24"/>
      <c r="E98" s="25"/>
      <c r="F98" s="20"/>
      <c r="G98" s="20"/>
      <c r="H98" s="20"/>
      <c r="I98" s="20"/>
      <c r="J98" s="20"/>
      <c r="K98" s="20"/>
      <c r="L98" s="20"/>
      <c r="M98" s="20"/>
      <c r="N98" s="20"/>
      <c r="O98" s="20"/>
      <c r="P98" s="20"/>
      <c r="Q98" s="20"/>
      <c r="R98" s="20"/>
      <c r="S98" s="20"/>
      <c r="T98" s="20"/>
      <c r="U98" s="20"/>
      <c r="V98" s="20"/>
      <c r="W98" s="20"/>
      <c r="X98" s="20"/>
      <c r="Y98" s="20"/>
      <c r="Z98" s="20"/>
    </row>
    <row r="99" ht="56.25" customHeight="1">
      <c r="A99" s="24"/>
      <c r="B99" s="24"/>
      <c r="C99" s="24"/>
      <c r="D99" s="24"/>
      <c r="E99" s="25"/>
      <c r="F99" s="20"/>
      <c r="G99" s="20"/>
      <c r="H99" s="20"/>
      <c r="I99" s="20"/>
      <c r="J99" s="20"/>
      <c r="K99" s="20"/>
      <c r="L99" s="20"/>
      <c r="M99" s="20"/>
      <c r="N99" s="20"/>
      <c r="O99" s="20"/>
      <c r="P99" s="20"/>
      <c r="Q99" s="20"/>
      <c r="R99" s="20"/>
      <c r="S99" s="20"/>
      <c r="T99" s="20"/>
      <c r="U99" s="20"/>
      <c r="V99" s="20"/>
      <c r="W99" s="20"/>
      <c r="X99" s="20"/>
      <c r="Y99" s="20"/>
      <c r="Z99" s="20"/>
    </row>
    <row r="100" ht="56.25" customHeight="1">
      <c r="A100" s="24"/>
      <c r="B100" s="24"/>
      <c r="C100" s="24"/>
      <c r="D100" s="24"/>
      <c r="E100" s="25"/>
      <c r="F100" s="20"/>
      <c r="G100" s="20"/>
      <c r="H100" s="20"/>
      <c r="I100" s="20"/>
      <c r="J100" s="20"/>
      <c r="K100" s="20"/>
      <c r="L100" s="20"/>
      <c r="M100" s="20"/>
      <c r="N100" s="20"/>
      <c r="O100" s="20"/>
      <c r="P100" s="20"/>
      <c r="Q100" s="20"/>
      <c r="R100" s="20"/>
      <c r="S100" s="20"/>
      <c r="T100" s="20"/>
      <c r="U100" s="20"/>
      <c r="V100" s="20"/>
      <c r="W100" s="20"/>
      <c r="X100" s="20"/>
      <c r="Y100" s="20"/>
      <c r="Z100" s="20"/>
    </row>
    <row r="101" ht="56.25" customHeight="1">
      <c r="A101" s="24"/>
      <c r="B101" s="24"/>
      <c r="C101" s="24"/>
      <c r="D101" s="24"/>
      <c r="E101" s="25"/>
      <c r="F101" s="20"/>
      <c r="G101" s="20"/>
      <c r="H101" s="20"/>
      <c r="I101" s="20"/>
      <c r="J101" s="20"/>
      <c r="K101" s="20"/>
      <c r="L101" s="20"/>
      <c r="M101" s="20"/>
      <c r="N101" s="20"/>
      <c r="O101" s="20"/>
      <c r="P101" s="20"/>
      <c r="Q101" s="20"/>
      <c r="R101" s="20"/>
      <c r="S101" s="20"/>
      <c r="T101" s="20"/>
      <c r="U101" s="20"/>
      <c r="V101" s="20"/>
      <c r="W101" s="20"/>
      <c r="X101" s="20"/>
      <c r="Y101" s="20"/>
      <c r="Z101" s="20"/>
    </row>
    <row r="102" ht="56.25" customHeight="1">
      <c r="A102" s="24"/>
      <c r="B102" s="24"/>
      <c r="C102" s="24"/>
      <c r="D102" s="24"/>
      <c r="E102" s="25"/>
      <c r="F102" s="20"/>
      <c r="G102" s="20"/>
      <c r="H102" s="20"/>
      <c r="I102" s="20"/>
      <c r="J102" s="20"/>
      <c r="K102" s="20"/>
      <c r="L102" s="20"/>
      <c r="M102" s="20"/>
      <c r="N102" s="20"/>
      <c r="O102" s="20"/>
      <c r="P102" s="20"/>
      <c r="Q102" s="20"/>
      <c r="R102" s="20"/>
      <c r="S102" s="20"/>
      <c r="T102" s="20"/>
      <c r="U102" s="20"/>
      <c r="V102" s="20"/>
      <c r="W102" s="20"/>
      <c r="X102" s="20"/>
      <c r="Y102" s="20"/>
      <c r="Z102" s="20"/>
    </row>
    <row r="103" ht="56.25" customHeight="1">
      <c r="A103" s="24"/>
      <c r="B103" s="24"/>
      <c r="C103" s="24"/>
      <c r="D103" s="24"/>
      <c r="E103" s="25"/>
      <c r="F103" s="20"/>
      <c r="G103" s="20"/>
      <c r="H103" s="20"/>
      <c r="I103" s="20"/>
      <c r="J103" s="20"/>
      <c r="K103" s="20"/>
      <c r="L103" s="20"/>
      <c r="M103" s="20"/>
      <c r="N103" s="20"/>
      <c r="O103" s="20"/>
      <c r="P103" s="20"/>
      <c r="Q103" s="20"/>
      <c r="R103" s="20"/>
      <c r="S103" s="20"/>
      <c r="T103" s="20"/>
      <c r="U103" s="20"/>
      <c r="V103" s="20"/>
      <c r="W103" s="20"/>
      <c r="X103" s="20"/>
      <c r="Y103" s="20"/>
      <c r="Z103" s="20"/>
    </row>
    <row r="104" ht="56.25" customHeight="1">
      <c r="A104" s="24"/>
      <c r="B104" s="24"/>
      <c r="C104" s="24"/>
      <c r="D104" s="24"/>
      <c r="E104" s="25"/>
      <c r="F104" s="20"/>
      <c r="G104" s="20"/>
      <c r="H104" s="20"/>
      <c r="I104" s="20"/>
      <c r="J104" s="20"/>
      <c r="K104" s="20"/>
      <c r="L104" s="20"/>
      <c r="M104" s="20"/>
      <c r="N104" s="20"/>
      <c r="O104" s="20"/>
      <c r="P104" s="20"/>
      <c r="Q104" s="20"/>
      <c r="R104" s="20"/>
      <c r="S104" s="20"/>
      <c r="T104" s="20"/>
      <c r="U104" s="20"/>
      <c r="V104" s="20"/>
      <c r="W104" s="20"/>
      <c r="X104" s="20"/>
      <c r="Y104" s="20"/>
      <c r="Z104" s="20"/>
    </row>
    <row r="105" ht="56.25" customHeight="1">
      <c r="A105" s="24"/>
      <c r="B105" s="24"/>
      <c r="C105" s="24"/>
      <c r="D105" s="24"/>
      <c r="E105" s="25"/>
      <c r="F105" s="20"/>
      <c r="G105" s="20"/>
      <c r="H105" s="20"/>
      <c r="I105" s="20"/>
      <c r="J105" s="20"/>
      <c r="K105" s="20"/>
      <c r="L105" s="20"/>
      <c r="M105" s="20"/>
      <c r="N105" s="20"/>
      <c r="O105" s="20"/>
      <c r="P105" s="20"/>
      <c r="Q105" s="20"/>
      <c r="R105" s="20"/>
      <c r="S105" s="20"/>
      <c r="T105" s="20"/>
      <c r="U105" s="20"/>
      <c r="V105" s="20"/>
      <c r="W105" s="20"/>
      <c r="X105" s="20"/>
      <c r="Y105" s="20"/>
      <c r="Z105" s="20"/>
    </row>
    <row r="106" ht="56.25" customHeight="1">
      <c r="A106" s="24"/>
      <c r="B106" s="24"/>
      <c r="C106" s="24"/>
      <c r="D106" s="24"/>
      <c r="E106" s="25"/>
      <c r="F106" s="20"/>
      <c r="G106" s="20"/>
      <c r="H106" s="20"/>
      <c r="I106" s="20"/>
      <c r="J106" s="20"/>
      <c r="K106" s="20"/>
      <c r="L106" s="20"/>
      <c r="M106" s="20"/>
      <c r="N106" s="20"/>
      <c r="O106" s="20"/>
      <c r="P106" s="20"/>
      <c r="Q106" s="20"/>
      <c r="R106" s="20"/>
      <c r="S106" s="20"/>
      <c r="T106" s="20"/>
      <c r="U106" s="20"/>
      <c r="V106" s="20"/>
      <c r="W106" s="20"/>
      <c r="X106" s="20"/>
      <c r="Y106" s="20"/>
      <c r="Z106" s="20"/>
    </row>
    <row r="107" ht="56.25" customHeight="1">
      <c r="A107" s="24"/>
      <c r="B107" s="24"/>
      <c r="C107" s="24"/>
      <c r="D107" s="24"/>
      <c r="E107" s="25"/>
      <c r="F107" s="20"/>
      <c r="G107" s="20"/>
      <c r="H107" s="20"/>
      <c r="I107" s="20"/>
      <c r="J107" s="20"/>
      <c r="K107" s="20"/>
      <c r="L107" s="20"/>
      <c r="M107" s="20"/>
      <c r="N107" s="20"/>
      <c r="O107" s="20"/>
      <c r="P107" s="20"/>
      <c r="Q107" s="20"/>
      <c r="R107" s="20"/>
      <c r="S107" s="20"/>
      <c r="T107" s="20"/>
      <c r="U107" s="20"/>
      <c r="V107" s="20"/>
      <c r="W107" s="20"/>
      <c r="X107" s="20"/>
      <c r="Y107" s="20"/>
      <c r="Z107" s="20"/>
    </row>
    <row r="108" ht="56.25" customHeight="1">
      <c r="A108" s="24"/>
      <c r="B108" s="24"/>
      <c r="C108" s="24"/>
      <c r="D108" s="24"/>
      <c r="E108" s="25"/>
      <c r="F108" s="20"/>
      <c r="G108" s="20"/>
      <c r="H108" s="20"/>
      <c r="I108" s="20"/>
      <c r="J108" s="20"/>
      <c r="K108" s="20"/>
      <c r="L108" s="20"/>
      <c r="M108" s="20"/>
      <c r="N108" s="20"/>
      <c r="O108" s="20"/>
      <c r="P108" s="20"/>
      <c r="Q108" s="20"/>
      <c r="R108" s="20"/>
      <c r="S108" s="20"/>
      <c r="T108" s="20"/>
      <c r="U108" s="20"/>
      <c r="V108" s="20"/>
      <c r="W108" s="20"/>
      <c r="X108" s="20"/>
      <c r="Y108" s="20"/>
      <c r="Z108" s="20"/>
    </row>
    <row r="109" ht="56.25" customHeight="1">
      <c r="A109" s="24"/>
      <c r="B109" s="24"/>
      <c r="C109" s="24"/>
      <c r="D109" s="24"/>
      <c r="E109" s="25"/>
      <c r="F109" s="20"/>
      <c r="G109" s="20"/>
      <c r="H109" s="20"/>
      <c r="I109" s="20"/>
      <c r="J109" s="20"/>
      <c r="K109" s="20"/>
      <c r="L109" s="20"/>
      <c r="M109" s="20"/>
      <c r="N109" s="20"/>
      <c r="O109" s="20"/>
      <c r="P109" s="20"/>
      <c r="Q109" s="20"/>
      <c r="R109" s="20"/>
      <c r="S109" s="20"/>
      <c r="T109" s="20"/>
      <c r="U109" s="20"/>
      <c r="V109" s="20"/>
      <c r="W109" s="20"/>
      <c r="X109" s="20"/>
      <c r="Y109" s="20"/>
      <c r="Z109" s="20"/>
    </row>
    <row r="110" ht="56.25" customHeight="1">
      <c r="A110" s="24"/>
      <c r="B110" s="24"/>
      <c r="C110" s="24"/>
      <c r="D110" s="24"/>
      <c r="E110" s="25"/>
      <c r="F110" s="20"/>
      <c r="G110" s="20"/>
      <c r="H110" s="20"/>
      <c r="I110" s="20"/>
      <c r="J110" s="20"/>
      <c r="K110" s="20"/>
      <c r="L110" s="20"/>
      <c r="M110" s="20"/>
      <c r="N110" s="20"/>
      <c r="O110" s="20"/>
      <c r="P110" s="20"/>
      <c r="Q110" s="20"/>
      <c r="R110" s="20"/>
      <c r="S110" s="20"/>
      <c r="T110" s="20"/>
      <c r="U110" s="20"/>
      <c r="V110" s="20"/>
      <c r="W110" s="20"/>
      <c r="X110" s="20"/>
      <c r="Y110" s="20"/>
      <c r="Z110" s="20"/>
    </row>
    <row r="111" ht="56.25" customHeight="1">
      <c r="A111" s="24"/>
      <c r="B111" s="24"/>
      <c r="C111" s="24"/>
      <c r="D111" s="24"/>
      <c r="E111" s="25"/>
      <c r="F111" s="20"/>
      <c r="G111" s="20"/>
      <c r="H111" s="20"/>
      <c r="I111" s="20"/>
      <c r="J111" s="20"/>
      <c r="K111" s="20"/>
      <c r="L111" s="20"/>
      <c r="M111" s="20"/>
      <c r="N111" s="20"/>
      <c r="O111" s="20"/>
      <c r="P111" s="20"/>
      <c r="Q111" s="20"/>
      <c r="R111" s="20"/>
      <c r="S111" s="20"/>
      <c r="T111" s="20"/>
      <c r="U111" s="20"/>
      <c r="V111" s="20"/>
      <c r="W111" s="20"/>
      <c r="X111" s="20"/>
      <c r="Y111" s="20"/>
      <c r="Z111" s="20"/>
    </row>
    <row r="112" ht="56.25" customHeight="1">
      <c r="A112" s="24"/>
      <c r="B112" s="24"/>
      <c r="C112" s="24"/>
      <c r="D112" s="24"/>
      <c r="E112" s="25"/>
      <c r="F112" s="20"/>
      <c r="G112" s="20"/>
      <c r="H112" s="20"/>
      <c r="I112" s="20"/>
      <c r="J112" s="20"/>
      <c r="K112" s="20"/>
      <c r="L112" s="20"/>
      <c r="M112" s="20"/>
      <c r="N112" s="20"/>
      <c r="O112" s="20"/>
      <c r="P112" s="20"/>
      <c r="Q112" s="20"/>
      <c r="R112" s="20"/>
      <c r="S112" s="20"/>
      <c r="T112" s="20"/>
      <c r="U112" s="20"/>
      <c r="V112" s="20"/>
      <c r="W112" s="20"/>
      <c r="X112" s="20"/>
      <c r="Y112" s="20"/>
      <c r="Z112" s="20"/>
    </row>
    <row r="113" ht="56.25" customHeight="1">
      <c r="A113" s="24"/>
      <c r="B113" s="24"/>
      <c r="C113" s="24"/>
      <c r="D113" s="24"/>
      <c r="E113" s="25"/>
      <c r="F113" s="20"/>
      <c r="G113" s="20"/>
      <c r="H113" s="20"/>
      <c r="I113" s="20"/>
      <c r="J113" s="20"/>
      <c r="K113" s="20"/>
      <c r="L113" s="20"/>
      <c r="M113" s="20"/>
      <c r="N113" s="20"/>
      <c r="O113" s="20"/>
      <c r="P113" s="20"/>
      <c r="Q113" s="20"/>
      <c r="R113" s="20"/>
      <c r="S113" s="20"/>
      <c r="T113" s="20"/>
      <c r="U113" s="20"/>
      <c r="V113" s="20"/>
      <c r="W113" s="20"/>
      <c r="X113" s="20"/>
      <c r="Y113" s="20"/>
      <c r="Z113" s="20"/>
    </row>
    <row r="114" ht="56.25" customHeight="1">
      <c r="A114" s="24"/>
      <c r="B114" s="24"/>
      <c r="C114" s="24"/>
      <c r="D114" s="24"/>
      <c r="E114" s="25"/>
      <c r="F114" s="20"/>
      <c r="G114" s="20"/>
      <c r="H114" s="20"/>
      <c r="I114" s="20"/>
      <c r="J114" s="20"/>
      <c r="K114" s="20"/>
      <c r="L114" s="20"/>
      <c r="M114" s="20"/>
      <c r="N114" s="20"/>
      <c r="O114" s="20"/>
      <c r="P114" s="20"/>
      <c r="Q114" s="20"/>
      <c r="R114" s="20"/>
      <c r="S114" s="20"/>
      <c r="T114" s="20"/>
      <c r="U114" s="20"/>
      <c r="V114" s="20"/>
      <c r="W114" s="20"/>
      <c r="X114" s="20"/>
      <c r="Y114" s="20"/>
      <c r="Z114" s="20"/>
    </row>
    <row r="115" ht="56.25" customHeight="1">
      <c r="A115" s="24"/>
      <c r="B115" s="24"/>
      <c r="C115" s="24"/>
      <c r="D115" s="24"/>
      <c r="E115" s="25"/>
      <c r="F115" s="20"/>
      <c r="G115" s="20"/>
      <c r="H115" s="20"/>
      <c r="I115" s="20"/>
      <c r="J115" s="20"/>
      <c r="K115" s="20"/>
      <c r="L115" s="20"/>
      <c r="M115" s="20"/>
      <c r="N115" s="20"/>
      <c r="O115" s="20"/>
      <c r="P115" s="20"/>
      <c r="Q115" s="20"/>
      <c r="R115" s="20"/>
      <c r="S115" s="20"/>
      <c r="T115" s="20"/>
      <c r="U115" s="20"/>
      <c r="V115" s="20"/>
      <c r="W115" s="20"/>
      <c r="X115" s="20"/>
      <c r="Y115" s="20"/>
      <c r="Z115" s="20"/>
    </row>
    <row r="116" ht="56.25" customHeight="1">
      <c r="A116" s="24"/>
      <c r="B116" s="24"/>
      <c r="C116" s="24"/>
      <c r="D116" s="24"/>
      <c r="E116" s="25"/>
      <c r="F116" s="20"/>
      <c r="G116" s="20"/>
      <c r="H116" s="20"/>
      <c r="I116" s="20"/>
      <c r="J116" s="20"/>
      <c r="K116" s="20"/>
      <c r="L116" s="20"/>
      <c r="M116" s="20"/>
      <c r="N116" s="20"/>
      <c r="O116" s="20"/>
      <c r="P116" s="20"/>
      <c r="Q116" s="20"/>
      <c r="R116" s="20"/>
      <c r="S116" s="20"/>
      <c r="T116" s="20"/>
      <c r="U116" s="20"/>
      <c r="V116" s="20"/>
      <c r="W116" s="20"/>
      <c r="X116" s="20"/>
      <c r="Y116" s="20"/>
      <c r="Z116" s="20"/>
    </row>
    <row r="117" ht="56.25" customHeight="1">
      <c r="A117" s="24"/>
      <c r="B117" s="24"/>
      <c r="C117" s="24"/>
      <c r="D117" s="24"/>
      <c r="E117" s="25"/>
      <c r="F117" s="20"/>
      <c r="G117" s="20"/>
      <c r="H117" s="20"/>
      <c r="I117" s="20"/>
      <c r="J117" s="20"/>
      <c r="K117" s="20"/>
      <c r="L117" s="20"/>
      <c r="M117" s="20"/>
      <c r="N117" s="20"/>
      <c r="O117" s="20"/>
      <c r="P117" s="20"/>
      <c r="Q117" s="20"/>
      <c r="R117" s="20"/>
      <c r="S117" s="20"/>
      <c r="T117" s="20"/>
      <c r="U117" s="20"/>
      <c r="V117" s="20"/>
      <c r="W117" s="20"/>
      <c r="X117" s="20"/>
      <c r="Y117" s="20"/>
      <c r="Z117" s="20"/>
    </row>
    <row r="118" ht="56.25" customHeight="1">
      <c r="A118" s="24"/>
      <c r="B118" s="24"/>
      <c r="C118" s="24"/>
      <c r="D118" s="24"/>
      <c r="E118" s="25"/>
      <c r="F118" s="20"/>
      <c r="G118" s="20"/>
      <c r="H118" s="20"/>
      <c r="I118" s="20"/>
      <c r="J118" s="20"/>
      <c r="K118" s="20"/>
      <c r="L118" s="20"/>
      <c r="M118" s="20"/>
      <c r="N118" s="20"/>
      <c r="O118" s="20"/>
      <c r="P118" s="20"/>
      <c r="Q118" s="20"/>
      <c r="R118" s="20"/>
      <c r="S118" s="20"/>
      <c r="T118" s="20"/>
      <c r="U118" s="20"/>
      <c r="V118" s="20"/>
      <c r="W118" s="20"/>
      <c r="X118" s="20"/>
      <c r="Y118" s="20"/>
      <c r="Z118" s="20"/>
    </row>
    <row r="119" ht="56.25" customHeight="1">
      <c r="A119" s="24"/>
      <c r="B119" s="24"/>
      <c r="C119" s="24"/>
      <c r="D119" s="24"/>
      <c r="E119" s="25"/>
      <c r="F119" s="20"/>
      <c r="G119" s="20"/>
      <c r="H119" s="20"/>
      <c r="I119" s="20"/>
      <c r="J119" s="20"/>
      <c r="K119" s="20"/>
      <c r="L119" s="20"/>
      <c r="M119" s="20"/>
      <c r="N119" s="20"/>
      <c r="O119" s="20"/>
      <c r="P119" s="20"/>
      <c r="Q119" s="20"/>
      <c r="R119" s="20"/>
      <c r="S119" s="20"/>
      <c r="T119" s="20"/>
      <c r="U119" s="20"/>
      <c r="V119" s="20"/>
      <c r="W119" s="20"/>
      <c r="X119" s="20"/>
      <c r="Y119" s="20"/>
      <c r="Z119" s="20"/>
    </row>
    <row r="120" ht="56.25" customHeight="1">
      <c r="A120" s="24"/>
      <c r="B120" s="24"/>
      <c r="C120" s="24"/>
      <c r="D120" s="24"/>
      <c r="E120" s="25"/>
      <c r="F120" s="20"/>
      <c r="G120" s="20"/>
      <c r="H120" s="20"/>
      <c r="I120" s="20"/>
      <c r="J120" s="20"/>
      <c r="K120" s="20"/>
      <c r="L120" s="20"/>
      <c r="M120" s="20"/>
      <c r="N120" s="20"/>
      <c r="O120" s="20"/>
      <c r="P120" s="20"/>
      <c r="Q120" s="20"/>
      <c r="R120" s="20"/>
      <c r="S120" s="20"/>
      <c r="T120" s="20"/>
      <c r="U120" s="20"/>
      <c r="V120" s="20"/>
      <c r="W120" s="20"/>
      <c r="X120" s="20"/>
      <c r="Y120" s="20"/>
      <c r="Z120" s="20"/>
    </row>
    <row r="121" ht="56.25" customHeight="1">
      <c r="A121" s="24"/>
      <c r="B121" s="24"/>
      <c r="C121" s="24"/>
      <c r="D121" s="24"/>
      <c r="E121" s="25"/>
      <c r="F121" s="20"/>
      <c r="G121" s="20"/>
      <c r="H121" s="20"/>
      <c r="I121" s="20"/>
      <c r="J121" s="20"/>
      <c r="K121" s="20"/>
      <c r="L121" s="20"/>
      <c r="M121" s="20"/>
      <c r="N121" s="20"/>
      <c r="O121" s="20"/>
      <c r="P121" s="20"/>
      <c r="Q121" s="20"/>
      <c r="R121" s="20"/>
      <c r="S121" s="20"/>
      <c r="T121" s="20"/>
      <c r="U121" s="20"/>
      <c r="V121" s="20"/>
      <c r="W121" s="20"/>
      <c r="X121" s="20"/>
      <c r="Y121" s="20"/>
      <c r="Z121" s="20"/>
    </row>
    <row r="122" ht="56.25" customHeight="1">
      <c r="A122" s="24"/>
      <c r="B122" s="24"/>
      <c r="C122" s="24"/>
      <c r="D122" s="24"/>
      <c r="E122" s="25"/>
      <c r="F122" s="20"/>
      <c r="G122" s="20"/>
      <c r="H122" s="20"/>
      <c r="I122" s="20"/>
      <c r="J122" s="20"/>
      <c r="K122" s="20"/>
      <c r="L122" s="20"/>
      <c r="M122" s="20"/>
      <c r="N122" s="20"/>
      <c r="O122" s="20"/>
      <c r="P122" s="20"/>
      <c r="Q122" s="20"/>
      <c r="R122" s="20"/>
      <c r="S122" s="20"/>
      <c r="T122" s="20"/>
      <c r="U122" s="20"/>
      <c r="V122" s="20"/>
      <c r="W122" s="20"/>
      <c r="X122" s="20"/>
      <c r="Y122" s="20"/>
      <c r="Z122" s="20"/>
    </row>
    <row r="123" ht="56.25" customHeight="1">
      <c r="A123" s="24"/>
      <c r="B123" s="24"/>
      <c r="C123" s="24"/>
      <c r="D123" s="24"/>
      <c r="E123" s="25"/>
      <c r="F123" s="20"/>
      <c r="G123" s="20"/>
      <c r="H123" s="20"/>
      <c r="I123" s="20"/>
      <c r="J123" s="20"/>
      <c r="K123" s="20"/>
      <c r="L123" s="20"/>
      <c r="M123" s="20"/>
      <c r="N123" s="20"/>
      <c r="O123" s="20"/>
      <c r="P123" s="20"/>
      <c r="Q123" s="20"/>
      <c r="R123" s="20"/>
      <c r="S123" s="20"/>
      <c r="T123" s="20"/>
      <c r="U123" s="20"/>
      <c r="V123" s="20"/>
      <c r="W123" s="20"/>
      <c r="X123" s="20"/>
      <c r="Y123" s="20"/>
      <c r="Z123" s="20"/>
    </row>
    <row r="124" ht="56.25" customHeight="1">
      <c r="A124" s="24"/>
      <c r="B124" s="24"/>
      <c r="C124" s="24"/>
      <c r="D124" s="24"/>
      <c r="E124" s="25"/>
      <c r="F124" s="20"/>
      <c r="G124" s="20"/>
      <c r="H124" s="20"/>
      <c r="I124" s="20"/>
      <c r="J124" s="20"/>
      <c r="K124" s="20"/>
      <c r="L124" s="20"/>
      <c r="M124" s="20"/>
      <c r="N124" s="20"/>
      <c r="O124" s="20"/>
      <c r="P124" s="20"/>
      <c r="Q124" s="20"/>
      <c r="R124" s="20"/>
      <c r="S124" s="20"/>
      <c r="T124" s="20"/>
      <c r="U124" s="20"/>
      <c r="V124" s="20"/>
      <c r="W124" s="20"/>
      <c r="X124" s="20"/>
      <c r="Y124" s="20"/>
      <c r="Z124" s="20"/>
    </row>
    <row r="125" ht="56.25" customHeight="1">
      <c r="A125" s="24"/>
      <c r="B125" s="24"/>
      <c r="C125" s="24"/>
      <c r="D125" s="24"/>
      <c r="E125" s="25"/>
      <c r="F125" s="20"/>
      <c r="G125" s="20"/>
      <c r="H125" s="20"/>
      <c r="I125" s="20"/>
      <c r="J125" s="20"/>
      <c r="K125" s="20"/>
      <c r="L125" s="20"/>
      <c r="M125" s="20"/>
      <c r="N125" s="20"/>
      <c r="O125" s="20"/>
      <c r="P125" s="20"/>
      <c r="Q125" s="20"/>
      <c r="R125" s="20"/>
      <c r="S125" s="20"/>
      <c r="T125" s="20"/>
      <c r="U125" s="20"/>
      <c r="V125" s="20"/>
      <c r="W125" s="20"/>
      <c r="X125" s="20"/>
      <c r="Y125" s="20"/>
      <c r="Z125" s="20"/>
    </row>
    <row r="126" ht="56.25" customHeight="1">
      <c r="A126" s="24"/>
      <c r="B126" s="24"/>
      <c r="C126" s="24"/>
      <c r="D126" s="24"/>
      <c r="E126" s="25"/>
      <c r="F126" s="20"/>
      <c r="G126" s="20"/>
      <c r="H126" s="20"/>
      <c r="I126" s="20"/>
      <c r="J126" s="20"/>
      <c r="K126" s="20"/>
      <c r="L126" s="20"/>
      <c r="M126" s="20"/>
      <c r="N126" s="20"/>
      <c r="O126" s="20"/>
      <c r="P126" s="20"/>
      <c r="Q126" s="20"/>
      <c r="R126" s="20"/>
      <c r="S126" s="20"/>
      <c r="T126" s="20"/>
      <c r="U126" s="20"/>
      <c r="V126" s="20"/>
      <c r="W126" s="20"/>
      <c r="X126" s="20"/>
      <c r="Y126" s="20"/>
      <c r="Z126" s="20"/>
    </row>
    <row r="127" ht="56.25" customHeight="1">
      <c r="A127" s="24"/>
      <c r="B127" s="24"/>
      <c r="C127" s="24"/>
      <c r="D127" s="24"/>
      <c r="E127" s="25"/>
      <c r="F127" s="20"/>
      <c r="G127" s="20"/>
      <c r="H127" s="20"/>
      <c r="I127" s="20"/>
      <c r="J127" s="20"/>
      <c r="K127" s="20"/>
      <c r="L127" s="20"/>
      <c r="M127" s="20"/>
      <c r="N127" s="20"/>
      <c r="O127" s="20"/>
      <c r="P127" s="20"/>
      <c r="Q127" s="20"/>
      <c r="R127" s="20"/>
      <c r="S127" s="20"/>
      <c r="T127" s="20"/>
      <c r="U127" s="20"/>
      <c r="V127" s="20"/>
      <c r="W127" s="20"/>
      <c r="X127" s="20"/>
      <c r="Y127" s="20"/>
      <c r="Z127" s="20"/>
    </row>
    <row r="128" ht="56.25" customHeight="1">
      <c r="A128" s="24"/>
      <c r="B128" s="24"/>
      <c r="C128" s="24"/>
      <c r="D128" s="24"/>
      <c r="E128" s="25"/>
      <c r="F128" s="20"/>
      <c r="G128" s="20"/>
      <c r="H128" s="20"/>
      <c r="I128" s="20"/>
      <c r="J128" s="20"/>
      <c r="K128" s="20"/>
      <c r="L128" s="20"/>
      <c r="M128" s="20"/>
      <c r="N128" s="20"/>
      <c r="O128" s="20"/>
      <c r="P128" s="20"/>
      <c r="Q128" s="20"/>
      <c r="R128" s="20"/>
      <c r="S128" s="20"/>
      <c r="T128" s="20"/>
      <c r="U128" s="20"/>
      <c r="V128" s="20"/>
      <c r="W128" s="20"/>
      <c r="X128" s="20"/>
      <c r="Y128" s="20"/>
      <c r="Z128" s="20"/>
    </row>
    <row r="129" ht="56.25" customHeight="1">
      <c r="A129" s="24"/>
      <c r="B129" s="24"/>
      <c r="C129" s="24"/>
      <c r="D129" s="24"/>
      <c r="E129" s="25"/>
      <c r="F129" s="20"/>
      <c r="G129" s="20"/>
      <c r="H129" s="20"/>
      <c r="I129" s="20"/>
      <c r="J129" s="20"/>
      <c r="K129" s="20"/>
      <c r="L129" s="20"/>
      <c r="M129" s="20"/>
      <c r="N129" s="20"/>
      <c r="O129" s="20"/>
      <c r="P129" s="20"/>
      <c r="Q129" s="20"/>
      <c r="R129" s="20"/>
      <c r="S129" s="20"/>
      <c r="T129" s="20"/>
      <c r="U129" s="20"/>
      <c r="V129" s="20"/>
      <c r="W129" s="20"/>
      <c r="X129" s="20"/>
      <c r="Y129" s="20"/>
      <c r="Z129" s="20"/>
    </row>
    <row r="130" ht="56.25" customHeight="1">
      <c r="A130" s="24"/>
      <c r="B130" s="24"/>
      <c r="C130" s="24"/>
      <c r="D130" s="24"/>
      <c r="E130" s="25"/>
      <c r="F130" s="20"/>
      <c r="G130" s="20"/>
      <c r="H130" s="20"/>
      <c r="I130" s="20"/>
      <c r="J130" s="20"/>
      <c r="K130" s="20"/>
      <c r="L130" s="20"/>
      <c r="M130" s="20"/>
      <c r="N130" s="20"/>
      <c r="O130" s="20"/>
      <c r="P130" s="20"/>
      <c r="Q130" s="20"/>
      <c r="R130" s="20"/>
      <c r="S130" s="20"/>
      <c r="T130" s="20"/>
      <c r="U130" s="20"/>
      <c r="V130" s="20"/>
      <c r="W130" s="20"/>
      <c r="X130" s="20"/>
      <c r="Y130" s="20"/>
      <c r="Z130" s="20"/>
    </row>
    <row r="131" ht="56.25" customHeight="1">
      <c r="A131" s="24"/>
      <c r="B131" s="24"/>
      <c r="C131" s="24"/>
      <c r="D131" s="24"/>
      <c r="E131" s="25"/>
      <c r="F131" s="20"/>
      <c r="G131" s="20"/>
      <c r="H131" s="20"/>
      <c r="I131" s="20"/>
      <c r="J131" s="20"/>
      <c r="K131" s="20"/>
      <c r="L131" s="20"/>
      <c r="M131" s="20"/>
      <c r="N131" s="20"/>
      <c r="O131" s="20"/>
      <c r="P131" s="20"/>
      <c r="Q131" s="20"/>
      <c r="R131" s="20"/>
      <c r="S131" s="20"/>
      <c r="T131" s="20"/>
      <c r="U131" s="20"/>
      <c r="V131" s="20"/>
      <c r="W131" s="20"/>
      <c r="X131" s="20"/>
      <c r="Y131" s="20"/>
      <c r="Z131" s="20"/>
    </row>
    <row r="132" ht="56.25" customHeight="1">
      <c r="A132" s="24"/>
      <c r="B132" s="24"/>
      <c r="C132" s="24"/>
      <c r="D132" s="24"/>
      <c r="E132" s="25"/>
      <c r="F132" s="20"/>
      <c r="G132" s="20"/>
      <c r="H132" s="20"/>
      <c r="I132" s="20"/>
      <c r="J132" s="20"/>
      <c r="K132" s="20"/>
      <c r="L132" s="20"/>
      <c r="M132" s="20"/>
      <c r="N132" s="20"/>
      <c r="O132" s="20"/>
      <c r="P132" s="20"/>
      <c r="Q132" s="20"/>
      <c r="R132" s="20"/>
      <c r="S132" s="20"/>
      <c r="T132" s="20"/>
      <c r="U132" s="20"/>
      <c r="V132" s="20"/>
      <c r="W132" s="20"/>
      <c r="X132" s="20"/>
      <c r="Y132" s="20"/>
      <c r="Z132" s="20"/>
    </row>
    <row r="133" ht="56.25" customHeight="1">
      <c r="A133" s="24"/>
      <c r="B133" s="24"/>
      <c r="C133" s="24"/>
      <c r="D133" s="24"/>
      <c r="E133" s="25"/>
      <c r="F133" s="20"/>
      <c r="G133" s="20"/>
      <c r="H133" s="20"/>
      <c r="I133" s="20"/>
      <c r="J133" s="20"/>
      <c r="K133" s="20"/>
      <c r="L133" s="20"/>
      <c r="M133" s="20"/>
      <c r="N133" s="20"/>
      <c r="O133" s="20"/>
      <c r="P133" s="20"/>
      <c r="Q133" s="20"/>
      <c r="R133" s="20"/>
      <c r="S133" s="20"/>
      <c r="T133" s="20"/>
      <c r="U133" s="20"/>
      <c r="V133" s="20"/>
      <c r="W133" s="20"/>
      <c r="X133" s="20"/>
      <c r="Y133" s="20"/>
      <c r="Z133" s="20"/>
    </row>
    <row r="134" ht="56.25" customHeight="1">
      <c r="A134" s="24"/>
      <c r="B134" s="24"/>
      <c r="C134" s="24"/>
      <c r="D134" s="24"/>
      <c r="E134" s="25"/>
      <c r="F134" s="20"/>
      <c r="G134" s="20"/>
      <c r="H134" s="20"/>
      <c r="I134" s="20"/>
      <c r="J134" s="20"/>
      <c r="K134" s="20"/>
      <c r="L134" s="20"/>
      <c r="M134" s="20"/>
      <c r="N134" s="20"/>
      <c r="O134" s="20"/>
      <c r="P134" s="20"/>
      <c r="Q134" s="20"/>
      <c r="R134" s="20"/>
      <c r="S134" s="20"/>
      <c r="T134" s="20"/>
      <c r="U134" s="20"/>
      <c r="V134" s="20"/>
      <c r="W134" s="20"/>
      <c r="X134" s="20"/>
      <c r="Y134" s="20"/>
      <c r="Z134" s="20"/>
    </row>
    <row r="135" ht="56.25" customHeight="1">
      <c r="A135" s="24"/>
      <c r="B135" s="24"/>
      <c r="C135" s="24"/>
      <c r="D135" s="24"/>
      <c r="E135" s="25"/>
      <c r="F135" s="20"/>
      <c r="G135" s="20"/>
      <c r="H135" s="20"/>
      <c r="I135" s="20"/>
      <c r="J135" s="20"/>
      <c r="K135" s="20"/>
      <c r="L135" s="20"/>
      <c r="M135" s="20"/>
      <c r="N135" s="20"/>
      <c r="O135" s="20"/>
      <c r="P135" s="20"/>
      <c r="Q135" s="20"/>
      <c r="R135" s="20"/>
      <c r="S135" s="20"/>
      <c r="T135" s="20"/>
      <c r="U135" s="20"/>
      <c r="V135" s="20"/>
      <c r="W135" s="20"/>
      <c r="X135" s="20"/>
      <c r="Y135" s="20"/>
      <c r="Z135" s="20"/>
    </row>
    <row r="136" ht="56.25" customHeight="1">
      <c r="A136" s="24"/>
      <c r="B136" s="24"/>
      <c r="C136" s="24"/>
      <c r="D136" s="24"/>
      <c r="E136" s="25"/>
      <c r="F136" s="20"/>
      <c r="G136" s="20"/>
      <c r="H136" s="20"/>
      <c r="I136" s="20"/>
      <c r="J136" s="20"/>
      <c r="K136" s="20"/>
      <c r="L136" s="20"/>
      <c r="M136" s="20"/>
      <c r="N136" s="20"/>
      <c r="O136" s="20"/>
      <c r="P136" s="20"/>
      <c r="Q136" s="20"/>
      <c r="R136" s="20"/>
      <c r="S136" s="20"/>
      <c r="T136" s="20"/>
      <c r="U136" s="20"/>
      <c r="V136" s="20"/>
      <c r="W136" s="20"/>
      <c r="X136" s="20"/>
      <c r="Y136" s="20"/>
      <c r="Z136" s="20"/>
    </row>
    <row r="137" ht="56.25" customHeight="1">
      <c r="A137" s="24"/>
      <c r="B137" s="24"/>
      <c r="C137" s="24"/>
      <c r="D137" s="24"/>
      <c r="E137" s="25"/>
      <c r="F137" s="20"/>
      <c r="G137" s="20"/>
      <c r="H137" s="20"/>
      <c r="I137" s="20"/>
      <c r="J137" s="20"/>
      <c r="K137" s="20"/>
      <c r="L137" s="20"/>
      <c r="M137" s="20"/>
      <c r="N137" s="20"/>
      <c r="O137" s="20"/>
      <c r="P137" s="20"/>
      <c r="Q137" s="20"/>
      <c r="R137" s="20"/>
      <c r="S137" s="20"/>
      <c r="T137" s="20"/>
      <c r="U137" s="20"/>
      <c r="V137" s="20"/>
      <c r="W137" s="20"/>
      <c r="X137" s="20"/>
      <c r="Y137" s="20"/>
      <c r="Z137" s="20"/>
    </row>
    <row r="138" ht="56.25" customHeight="1">
      <c r="A138" s="24"/>
      <c r="B138" s="24"/>
      <c r="C138" s="24"/>
      <c r="D138" s="24"/>
      <c r="E138" s="25"/>
      <c r="F138" s="20"/>
      <c r="G138" s="20"/>
      <c r="H138" s="20"/>
      <c r="I138" s="20"/>
      <c r="J138" s="20"/>
      <c r="K138" s="20"/>
      <c r="L138" s="20"/>
      <c r="M138" s="20"/>
      <c r="N138" s="20"/>
      <c r="O138" s="20"/>
      <c r="P138" s="20"/>
      <c r="Q138" s="20"/>
      <c r="R138" s="20"/>
      <c r="S138" s="20"/>
      <c r="T138" s="20"/>
      <c r="U138" s="20"/>
      <c r="V138" s="20"/>
      <c r="W138" s="20"/>
      <c r="X138" s="20"/>
      <c r="Y138" s="20"/>
      <c r="Z138" s="20"/>
    </row>
    <row r="139" ht="56.25" customHeight="1">
      <c r="A139" s="24"/>
      <c r="B139" s="24"/>
      <c r="C139" s="24"/>
      <c r="D139" s="24"/>
      <c r="E139" s="25"/>
      <c r="F139" s="20"/>
      <c r="G139" s="20"/>
      <c r="H139" s="20"/>
      <c r="I139" s="20"/>
      <c r="J139" s="20"/>
      <c r="K139" s="20"/>
      <c r="L139" s="20"/>
      <c r="M139" s="20"/>
      <c r="N139" s="20"/>
      <c r="O139" s="20"/>
      <c r="P139" s="20"/>
      <c r="Q139" s="20"/>
      <c r="R139" s="20"/>
      <c r="S139" s="20"/>
      <c r="T139" s="20"/>
      <c r="U139" s="20"/>
      <c r="V139" s="20"/>
      <c r="W139" s="20"/>
      <c r="X139" s="20"/>
      <c r="Y139" s="20"/>
      <c r="Z139" s="20"/>
    </row>
    <row r="140" ht="56.25" customHeight="1">
      <c r="A140" s="24"/>
      <c r="B140" s="24"/>
      <c r="C140" s="24"/>
      <c r="D140" s="24"/>
      <c r="E140" s="25"/>
      <c r="F140" s="20"/>
      <c r="G140" s="20"/>
      <c r="H140" s="20"/>
      <c r="I140" s="20"/>
      <c r="J140" s="20"/>
      <c r="K140" s="20"/>
      <c r="L140" s="20"/>
      <c r="M140" s="20"/>
      <c r="N140" s="20"/>
      <c r="O140" s="20"/>
      <c r="P140" s="20"/>
      <c r="Q140" s="20"/>
      <c r="R140" s="20"/>
      <c r="S140" s="20"/>
      <c r="T140" s="20"/>
      <c r="U140" s="20"/>
      <c r="V140" s="20"/>
      <c r="W140" s="20"/>
      <c r="X140" s="20"/>
      <c r="Y140" s="20"/>
      <c r="Z140" s="20"/>
    </row>
    <row r="141" ht="56.25" customHeight="1">
      <c r="A141" s="24"/>
      <c r="B141" s="24"/>
      <c r="C141" s="24"/>
      <c r="D141" s="24"/>
      <c r="E141" s="25"/>
      <c r="F141" s="20"/>
      <c r="G141" s="20"/>
      <c r="H141" s="20"/>
      <c r="I141" s="20"/>
      <c r="J141" s="20"/>
      <c r="K141" s="20"/>
      <c r="L141" s="20"/>
      <c r="M141" s="20"/>
      <c r="N141" s="20"/>
      <c r="O141" s="20"/>
      <c r="P141" s="20"/>
      <c r="Q141" s="20"/>
      <c r="R141" s="20"/>
      <c r="S141" s="20"/>
      <c r="T141" s="20"/>
      <c r="U141" s="20"/>
      <c r="V141" s="20"/>
      <c r="W141" s="20"/>
      <c r="X141" s="20"/>
      <c r="Y141" s="20"/>
      <c r="Z141" s="20"/>
    </row>
    <row r="142" ht="56.25" customHeight="1">
      <c r="A142" s="24"/>
      <c r="B142" s="24"/>
      <c r="C142" s="24"/>
      <c r="D142" s="24"/>
      <c r="E142" s="25"/>
      <c r="F142" s="20"/>
      <c r="G142" s="20"/>
      <c r="H142" s="20"/>
      <c r="I142" s="20"/>
      <c r="J142" s="20"/>
      <c r="K142" s="20"/>
      <c r="L142" s="20"/>
      <c r="M142" s="20"/>
      <c r="N142" s="20"/>
      <c r="O142" s="20"/>
      <c r="P142" s="20"/>
      <c r="Q142" s="20"/>
      <c r="R142" s="20"/>
      <c r="S142" s="20"/>
      <c r="T142" s="20"/>
      <c r="U142" s="20"/>
      <c r="V142" s="20"/>
      <c r="W142" s="20"/>
      <c r="X142" s="20"/>
      <c r="Y142" s="20"/>
      <c r="Z142" s="20"/>
    </row>
    <row r="143" ht="56.25" customHeight="1">
      <c r="A143" s="24"/>
      <c r="B143" s="24"/>
      <c r="C143" s="24"/>
      <c r="D143" s="24"/>
      <c r="E143" s="25"/>
      <c r="F143" s="20"/>
      <c r="G143" s="20"/>
      <c r="H143" s="20"/>
      <c r="I143" s="20"/>
      <c r="J143" s="20"/>
      <c r="K143" s="20"/>
      <c r="L143" s="20"/>
      <c r="M143" s="20"/>
      <c r="N143" s="20"/>
      <c r="O143" s="20"/>
      <c r="P143" s="20"/>
      <c r="Q143" s="20"/>
      <c r="R143" s="20"/>
      <c r="S143" s="20"/>
      <c r="T143" s="20"/>
      <c r="U143" s="20"/>
      <c r="V143" s="20"/>
      <c r="W143" s="20"/>
      <c r="X143" s="20"/>
      <c r="Y143" s="20"/>
      <c r="Z143" s="20"/>
    </row>
    <row r="144" ht="56.25" customHeight="1">
      <c r="A144" s="24"/>
      <c r="B144" s="24"/>
      <c r="C144" s="24"/>
      <c r="D144" s="24"/>
      <c r="E144" s="25"/>
      <c r="F144" s="20"/>
      <c r="G144" s="20"/>
      <c r="H144" s="20"/>
      <c r="I144" s="20"/>
      <c r="J144" s="20"/>
      <c r="K144" s="20"/>
      <c r="L144" s="20"/>
      <c r="M144" s="20"/>
      <c r="N144" s="20"/>
      <c r="O144" s="20"/>
      <c r="P144" s="20"/>
      <c r="Q144" s="20"/>
      <c r="R144" s="20"/>
      <c r="S144" s="20"/>
      <c r="T144" s="20"/>
      <c r="U144" s="20"/>
      <c r="V144" s="20"/>
      <c r="W144" s="20"/>
      <c r="X144" s="20"/>
      <c r="Y144" s="20"/>
      <c r="Z144" s="20"/>
    </row>
    <row r="145" ht="56.25" customHeight="1">
      <c r="A145" s="24"/>
      <c r="B145" s="24"/>
      <c r="C145" s="24"/>
      <c r="D145" s="24"/>
      <c r="E145" s="25"/>
      <c r="F145" s="20"/>
      <c r="G145" s="20"/>
      <c r="H145" s="20"/>
      <c r="I145" s="20"/>
      <c r="J145" s="20"/>
      <c r="K145" s="20"/>
      <c r="L145" s="20"/>
      <c r="M145" s="20"/>
      <c r="N145" s="20"/>
      <c r="O145" s="20"/>
      <c r="P145" s="20"/>
      <c r="Q145" s="20"/>
      <c r="R145" s="20"/>
      <c r="S145" s="20"/>
      <c r="T145" s="20"/>
      <c r="U145" s="20"/>
      <c r="V145" s="20"/>
      <c r="W145" s="20"/>
      <c r="X145" s="20"/>
      <c r="Y145" s="20"/>
      <c r="Z145" s="20"/>
    </row>
    <row r="146" ht="56.25" customHeight="1">
      <c r="A146" s="24"/>
      <c r="B146" s="24"/>
      <c r="C146" s="24"/>
      <c r="D146" s="24"/>
      <c r="E146" s="25"/>
      <c r="F146" s="20"/>
      <c r="G146" s="20"/>
      <c r="H146" s="20"/>
      <c r="I146" s="20"/>
      <c r="J146" s="20"/>
      <c r="K146" s="20"/>
      <c r="L146" s="20"/>
      <c r="M146" s="20"/>
      <c r="N146" s="20"/>
      <c r="O146" s="20"/>
      <c r="P146" s="20"/>
      <c r="Q146" s="20"/>
      <c r="R146" s="20"/>
      <c r="S146" s="20"/>
      <c r="T146" s="20"/>
      <c r="U146" s="20"/>
      <c r="V146" s="20"/>
      <c r="W146" s="20"/>
      <c r="X146" s="20"/>
      <c r="Y146" s="20"/>
      <c r="Z146" s="20"/>
    </row>
    <row r="147" ht="56.25" customHeight="1">
      <c r="A147" s="24"/>
      <c r="B147" s="24"/>
      <c r="C147" s="24"/>
      <c r="D147" s="24"/>
      <c r="E147" s="25"/>
      <c r="F147" s="20"/>
      <c r="G147" s="20"/>
      <c r="H147" s="20"/>
      <c r="I147" s="20"/>
      <c r="J147" s="20"/>
      <c r="K147" s="20"/>
      <c r="L147" s="20"/>
      <c r="M147" s="20"/>
      <c r="N147" s="20"/>
      <c r="O147" s="20"/>
      <c r="P147" s="20"/>
      <c r="Q147" s="20"/>
      <c r="R147" s="20"/>
      <c r="S147" s="20"/>
      <c r="T147" s="20"/>
      <c r="U147" s="20"/>
      <c r="V147" s="20"/>
      <c r="W147" s="20"/>
      <c r="X147" s="20"/>
      <c r="Y147" s="20"/>
      <c r="Z147" s="20"/>
    </row>
    <row r="148" ht="56.25" customHeight="1">
      <c r="A148" s="24"/>
      <c r="B148" s="24"/>
      <c r="C148" s="24"/>
      <c r="D148" s="24"/>
      <c r="E148" s="25"/>
      <c r="F148" s="20"/>
      <c r="G148" s="20"/>
      <c r="H148" s="20"/>
      <c r="I148" s="20"/>
      <c r="J148" s="20"/>
      <c r="K148" s="20"/>
      <c r="L148" s="20"/>
      <c r="M148" s="20"/>
      <c r="N148" s="20"/>
      <c r="O148" s="20"/>
      <c r="P148" s="20"/>
      <c r="Q148" s="20"/>
      <c r="R148" s="20"/>
      <c r="S148" s="20"/>
      <c r="T148" s="20"/>
      <c r="U148" s="20"/>
      <c r="V148" s="20"/>
      <c r="W148" s="20"/>
      <c r="X148" s="20"/>
      <c r="Y148" s="20"/>
      <c r="Z148" s="20"/>
    </row>
    <row r="149" ht="56.25" customHeight="1">
      <c r="A149" s="24"/>
      <c r="B149" s="24"/>
      <c r="C149" s="24"/>
      <c r="D149" s="24"/>
      <c r="E149" s="25"/>
      <c r="F149" s="20"/>
      <c r="G149" s="20"/>
      <c r="H149" s="20"/>
      <c r="I149" s="20"/>
      <c r="J149" s="20"/>
      <c r="K149" s="20"/>
      <c r="L149" s="20"/>
      <c r="M149" s="20"/>
      <c r="N149" s="20"/>
      <c r="O149" s="20"/>
      <c r="P149" s="20"/>
      <c r="Q149" s="20"/>
      <c r="R149" s="20"/>
      <c r="S149" s="20"/>
      <c r="T149" s="20"/>
      <c r="U149" s="20"/>
      <c r="V149" s="20"/>
      <c r="W149" s="20"/>
      <c r="X149" s="20"/>
      <c r="Y149" s="20"/>
      <c r="Z149" s="20"/>
    </row>
    <row r="150" ht="56.25" customHeight="1">
      <c r="A150" s="24"/>
      <c r="B150" s="24"/>
      <c r="C150" s="24"/>
      <c r="D150" s="24"/>
      <c r="E150" s="25"/>
      <c r="F150" s="20"/>
      <c r="G150" s="20"/>
      <c r="H150" s="20"/>
      <c r="I150" s="20"/>
      <c r="J150" s="20"/>
      <c r="K150" s="20"/>
      <c r="L150" s="20"/>
      <c r="M150" s="20"/>
      <c r="N150" s="20"/>
      <c r="O150" s="20"/>
      <c r="P150" s="20"/>
      <c r="Q150" s="20"/>
      <c r="R150" s="20"/>
      <c r="S150" s="20"/>
      <c r="T150" s="20"/>
      <c r="U150" s="20"/>
      <c r="V150" s="20"/>
      <c r="W150" s="20"/>
      <c r="X150" s="20"/>
      <c r="Y150" s="20"/>
      <c r="Z150" s="20"/>
    </row>
    <row r="151" ht="56.25" customHeight="1">
      <c r="A151" s="24"/>
      <c r="B151" s="24"/>
      <c r="C151" s="24"/>
      <c r="D151" s="24"/>
      <c r="E151" s="25"/>
      <c r="F151" s="20"/>
      <c r="G151" s="20"/>
      <c r="H151" s="20"/>
      <c r="I151" s="20"/>
      <c r="J151" s="20"/>
      <c r="K151" s="20"/>
      <c r="L151" s="20"/>
      <c r="M151" s="20"/>
      <c r="N151" s="20"/>
      <c r="O151" s="20"/>
      <c r="P151" s="20"/>
      <c r="Q151" s="20"/>
      <c r="R151" s="20"/>
      <c r="S151" s="20"/>
      <c r="T151" s="20"/>
      <c r="U151" s="20"/>
      <c r="V151" s="20"/>
      <c r="W151" s="20"/>
      <c r="X151" s="20"/>
      <c r="Y151" s="20"/>
      <c r="Z151" s="20"/>
    </row>
    <row r="152" ht="56.25" customHeight="1">
      <c r="A152" s="24"/>
      <c r="B152" s="24"/>
      <c r="C152" s="24"/>
      <c r="D152" s="24"/>
      <c r="E152" s="25"/>
      <c r="F152" s="20"/>
      <c r="G152" s="20"/>
      <c r="H152" s="20"/>
      <c r="I152" s="20"/>
      <c r="J152" s="20"/>
      <c r="K152" s="20"/>
      <c r="L152" s="20"/>
      <c r="M152" s="20"/>
      <c r="N152" s="20"/>
      <c r="O152" s="20"/>
      <c r="P152" s="20"/>
      <c r="Q152" s="20"/>
      <c r="R152" s="20"/>
      <c r="S152" s="20"/>
      <c r="T152" s="20"/>
      <c r="U152" s="20"/>
      <c r="V152" s="20"/>
      <c r="W152" s="20"/>
      <c r="X152" s="20"/>
      <c r="Y152" s="20"/>
      <c r="Z152" s="20"/>
    </row>
    <row r="153" ht="56.25" customHeight="1">
      <c r="A153" s="24"/>
      <c r="B153" s="24"/>
      <c r="C153" s="24"/>
      <c r="D153" s="24"/>
      <c r="E153" s="25"/>
      <c r="F153" s="20"/>
      <c r="G153" s="20"/>
      <c r="H153" s="20"/>
      <c r="I153" s="20"/>
      <c r="J153" s="20"/>
      <c r="K153" s="20"/>
      <c r="L153" s="20"/>
      <c r="M153" s="20"/>
      <c r="N153" s="20"/>
      <c r="O153" s="20"/>
      <c r="P153" s="20"/>
      <c r="Q153" s="20"/>
      <c r="R153" s="20"/>
      <c r="S153" s="20"/>
      <c r="T153" s="20"/>
      <c r="U153" s="20"/>
      <c r="V153" s="20"/>
      <c r="W153" s="20"/>
      <c r="X153" s="20"/>
      <c r="Y153" s="20"/>
      <c r="Z153" s="20"/>
    </row>
    <row r="154" ht="56.25" customHeight="1">
      <c r="A154" s="24"/>
      <c r="B154" s="24"/>
      <c r="C154" s="24"/>
      <c r="D154" s="24"/>
      <c r="E154" s="25"/>
      <c r="F154" s="20"/>
      <c r="G154" s="20"/>
      <c r="H154" s="20"/>
      <c r="I154" s="20"/>
      <c r="J154" s="20"/>
      <c r="K154" s="20"/>
      <c r="L154" s="20"/>
      <c r="M154" s="20"/>
      <c r="N154" s="20"/>
      <c r="O154" s="20"/>
      <c r="P154" s="20"/>
      <c r="Q154" s="20"/>
      <c r="R154" s="20"/>
      <c r="S154" s="20"/>
      <c r="T154" s="20"/>
      <c r="U154" s="20"/>
      <c r="V154" s="20"/>
      <c r="W154" s="20"/>
      <c r="X154" s="20"/>
      <c r="Y154" s="20"/>
      <c r="Z154" s="20"/>
    </row>
    <row r="155" ht="56.25" customHeight="1">
      <c r="A155" s="24"/>
      <c r="B155" s="24"/>
      <c r="C155" s="24"/>
      <c r="D155" s="24"/>
      <c r="E155" s="25"/>
      <c r="F155" s="20"/>
      <c r="G155" s="20"/>
      <c r="H155" s="20"/>
      <c r="I155" s="20"/>
      <c r="J155" s="20"/>
      <c r="K155" s="20"/>
      <c r="L155" s="20"/>
      <c r="M155" s="20"/>
      <c r="N155" s="20"/>
      <c r="O155" s="20"/>
      <c r="P155" s="20"/>
      <c r="Q155" s="20"/>
      <c r="R155" s="20"/>
      <c r="S155" s="20"/>
      <c r="T155" s="20"/>
      <c r="U155" s="20"/>
      <c r="V155" s="20"/>
      <c r="W155" s="20"/>
      <c r="X155" s="20"/>
      <c r="Y155" s="20"/>
      <c r="Z155" s="20"/>
    </row>
    <row r="156" ht="56.25" customHeight="1">
      <c r="A156" s="24"/>
      <c r="B156" s="24"/>
      <c r="C156" s="24"/>
      <c r="D156" s="24"/>
      <c r="E156" s="25"/>
      <c r="F156" s="20"/>
      <c r="G156" s="20"/>
      <c r="H156" s="20"/>
      <c r="I156" s="20"/>
      <c r="J156" s="20"/>
      <c r="K156" s="20"/>
      <c r="L156" s="20"/>
      <c r="M156" s="20"/>
      <c r="N156" s="20"/>
      <c r="O156" s="20"/>
      <c r="P156" s="20"/>
      <c r="Q156" s="20"/>
      <c r="R156" s="20"/>
      <c r="S156" s="20"/>
      <c r="T156" s="20"/>
      <c r="U156" s="20"/>
      <c r="V156" s="20"/>
      <c r="W156" s="20"/>
      <c r="X156" s="20"/>
      <c r="Y156" s="20"/>
      <c r="Z156" s="20"/>
    </row>
    <row r="157" ht="56.25" customHeight="1">
      <c r="A157" s="24"/>
      <c r="B157" s="24"/>
      <c r="C157" s="24"/>
      <c r="D157" s="24"/>
      <c r="E157" s="25"/>
      <c r="F157" s="20"/>
      <c r="G157" s="20"/>
      <c r="H157" s="20"/>
      <c r="I157" s="20"/>
      <c r="J157" s="20"/>
      <c r="K157" s="20"/>
      <c r="L157" s="20"/>
      <c r="M157" s="20"/>
      <c r="N157" s="20"/>
      <c r="O157" s="20"/>
      <c r="P157" s="20"/>
      <c r="Q157" s="20"/>
      <c r="R157" s="20"/>
      <c r="S157" s="20"/>
      <c r="T157" s="20"/>
      <c r="U157" s="20"/>
      <c r="V157" s="20"/>
      <c r="W157" s="20"/>
      <c r="X157" s="20"/>
      <c r="Y157" s="20"/>
      <c r="Z157" s="20"/>
    </row>
    <row r="158" ht="56.25" customHeight="1">
      <c r="A158" s="24"/>
      <c r="B158" s="24"/>
      <c r="C158" s="24"/>
      <c r="D158" s="24"/>
      <c r="E158" s="25"/>
      <c r="F158" s="20"/>
      <c r="G158" s="20"/>
      <c r="H158" s="20"/>
      <c r="I158" s="20"/>
      <c r="J158" s="20"/>
      <c r="K158" s="20"/>
      <c r="L158" s="20"/>
      <c r="M158" s="20"/>
      <c r="N158" s="20"/>
      <c r="O158" s="20"/>
      <c r="P158" s="20"/>
      <c r="Q158" s="20"/>
      <c r="R158" s="20"/>
      <c r="S158" s="20"/>
      <c r="T158" s="20"/>
      <c r="U158" s="20"/>
      <c r="V158" s="20"/>
      <c r="W158" s="20"/>
      <c r="X158" s="20"/>
      <c r="Y158" s="20"/>
      <c r="Z158" s="20"/>
    </row>
    <row r="159" ht="56.25" customHeight="1">
      <c r="A159" s="24"/>
      <c r="B159" s="24"/>
      <c r="C159" s="24"/>
      <c r="D159" s="24"/>
      <c r="E159" s="25"/>
      <c r="F159" s="20"/>
      <c r="G159" s="20"/>
      <c r="H159" s="20"/>
      <c r="I159" s="20"/>
      <c r="J159" s="20"/>
      <c r="K159" s="20"/>
      <c r="L159" s="20"/>
      <c r="M159" s="20"/>
      <c r="N159" s="20"/>
      <c r="O159" s="20"/>
      <c r="P159" s="20"/>
      <c r="Q159" s="20"/>
      <c r="R159" s="20"/>
      <c r="S159" s="20"/>
      <c r="T159" s="20"/>
      <c r="U159" s="20"/>
      <c r="V159" s="20"/>
      <c r="W159" s="20"/>
      <c r="X159" s="20"/>
      <c r="Y159" s="20"/>
      <c r="Z159" s="20"/>
    </row>
    <row r="160" ht="56.25" customHeight="1">
      <c r="A160" s="24"/>
      <c r="B160" s="24"/>
      <c r="C160" s="24"/>
      <c r="D160" s="24"/>
      <c r="E160" s="25"/>
      <c r="F160" s="20"/>
      <c r="G160" s="20"/>
      <c r="H160" s="20"/>
      <c r="I160" s="20"/>
      <c r="J160" s="20"/>
      <c r="K160" s="20"/>
      <c r="L160" s="20"/>
      <c r="M160" s="20"/>
      <c r="N160" s="20"/>
      <c r="O160" s="20"/>
      <c r="P160" s="20"/>
      <c r="Q160" s="20"/>
      <c r="R160" s="20"/>
      <c r="S160" s="20"/>
      <c r="T160" s="20"/>
      <c r="U160" s="20"/>
      <c r="V160" s="20"/>
      <c r="W160" s="20"/>
      <c r="X160" s="20"/>
      <c r="Y160" s="20"/>
      <c r="Z160" s="20"/>
    </row>
    <row r="161" ht="56.25" customHeight="1">
      <c r="A161" s="24"/>
      <c r="B161" s="24"/>
      <c r="C161" s="24"/>
      <c r="D161" s="24"/>
      <c r="E161" s="25"/>
      <c r="F161" s="20"/>
      <c r="G161" s="20"/>
      <c r="H161" s="20"/>
      <c r="I161" s="20"/>
      <c r="J161" s="20"/>
      <c r="K161" s="20"/>
      <c r="L161" s="20"/>
      <c r="M161" s="20"/>
      <c r="N161" s="20"/>
      <c r="O161" s="20"/>
      <c r="P161" s="20"/>
      <c r="Q161" s="20"/>
      <c r="R161" s="20"/>
      <c r="S161" s="20"/>
      <c r="T161" s="20"/>
      <c r="U161" s="20"/>
      <c r="V161" s="20"/>
      <c r="W161" s="20"/>
      <c r="X161" s="20"/>
      <c r="Y161" s="20"/>
      <c r="Z161" s="20"/>
    </row>
    <row r="162" ht="56.25" customHeight="1">
      <c r="A162" s="24"/>
      <c r="B162" s="24"/>
      <c r="C162" s="24"/>
      <c r="D162" s="24"/>
      <c r="E162" s="25"/>
      <c r="F162" s="20"/>
      <c r="G162" s="20"/>
      <c r="H162" s="20"/>
      <c r="I162" s="20"/>
      <c r="J162" s="20"/>
      <c r="K162" s="20"/>
      <c r="L162" s="20"/>
      <c r="M162" s="20"/>
      <c r="N162" s="20"/>
      <c r="O162" s="20"/>
      <c r="P162" s="20"/>
      <c r="Q162" s="20"/>
      <c r="R162" s="20"/>
      <c r="S162" s="20"/>
      <c r="T162" s="20"/>
      <c r="U162" s="20"/>
      <c r="V162" s="20"/>
      <c r="W162" s="20"/>
      <c r="X162" s="20"/>
      <c r="Y162" s="20"/>
      <c r="Z162" s="20"/>
    </row>
    <row r="163" ht="56.25" customHeight="1">
      <c r="A163" s="24"/>
      <c r="B163" s="24"/>
      <c r="C163" s="24"/>
      <c r="D163" s="24"/>
      <c r="E163" s="25"/>
      <c r="F163" s="20"/>
      <c r="G163" s="20"/>
      <c r="H163" s="20"/>
      <c r="I163" s="20"/>
      <c r="J163" s="20"/>
      <c r="K163" s="20"/>
      <c r="L163" s="20"/>
      <c r="M163" s="20"/>
      <c r="N163" s="20"/>
      <c r="O163" s="20"/>
      <c r="P163" s="20"/>
      <c r="Q163" s="20"/>
      <c r="R163" s="20"/>
      <c r="S163" s="20"/>
      <c r="T163" s="20"/>
      <c r="U163" s="20"/>
      <c r="V163" s="20"/>
      <c r="W163" s="20"/>
      <c r="X163" s="20"/>
      <c r="Y163" s="20"/>
      <c r="Z163" s="20"/>
    </row>
    <row r="164" ht="56.25" customHeight="1">
      <c r="A164" s="24"/>
      <c r="B164" s="24"/>
      <c r="C164" s="24"/>
      <c r="D164" s="24"/>
      <c r="E164" s="25"/>
      <c r="F164" s="20"/>
      <c r="G164" s="20"/>
      <c r="H164" s="20"/>
      <c r="I164" s="20"/>
      <c r="J164" s="20"/>
      <c r="K164" s="20"/>
      <c r="L164" s="20"/>
      <c r="M164" s="20"/>
      <c r="N164" s="20"/>
      <c r="O164" s="20"/>
      <c r="P164" s="20"/>
      <c r="Q164" s="20"/>
      <c r="R164" s="20"/>
      <c r="S164" s="20"/>
      <c r="T164" s="20"/>
      <c r="U164" s="20"/>
      <c r="V164" s="20"/>
      <c r="W164" s="20"/>
      <c r="X164" s="20"/>
      <c r="Y164" s="20"/>
      <c r="Z164" s="20"/>
    </row>
    <row r="165" ht="56.25" customHeight="1">
      <c r="A165" s="24"/>
      <c r="B165" s="24"/>
      <c r="C165" s="24"/>
      <c r="D165" s="24"/>
      <c r="E165" s="25"/>
      <c r="F165" s="20"/>
      <c r="G165" s="20"/>
      <c r="H165" s="20"/>
      <c r="I165" s="20"/>
      <c r="J165" s="20"/>
      <c r="K165" s="20"/>
      <c r="L165" s="20"/>
      <c r="M165" s="20"/>
      <c r="N165" s="20"/>
      <c r="O165" s="20"/>
      <c r="P165" s="20"/>
      <c r="Q165" s="20"/>
      <c r="R165" s="20"/>
      <c r="S165" s="20"/>
      <c r="T165" s="20"/>
      <c r="U165" s="20"/>
      <c r="V165" s="20"/>
      <c r="W165" s="20"/>
      <c r="X165" s="20"/>
      <c r="Y165" s="20"/>
      <c r="Z165" s="20"/>
    </row>
    <row r="166" ht="56.25" customHeight="1">
      <c r="A166" s="24"/>
      <c r="B166" s="24"/>
      <c r="C166" s="24"/>
      <c r="D166" s="24"/>
      <c r="E166" s="25"/>
      <c r="F166" s="20"/>
      <c r="G166" s="20"/>
      <c r="H166" s="20"/>
      <c r="I166" s="20"/>
      <c r="J166" s="20"/>
      <c r="K166" s="20"/>
      <c r="L166" s="20"/>
      <c r="M166" s="20"/>
      <c r="N166" s="20"/>
      <c r="O166" s="20"/>
      <c r="P166" s="20"/>
      <c r="Q166" s="20"/>
      <c r="R166" s="20"/>
      <c r="S166" s="20"/>
      <c r="T166" s="20"/>
      <c r="U166" s="20"/>
      <c r="V166" s="20"/>
      <c r="W166" s="20"/>
      <c r="X166" s="20"/>
      <c r="Y166" s="20"/>
      <c r="Z166" s="20"/>
    </row>
    <row r="167" ht="56.25" customHeight="1">
      <c r="A167" s="24"/>
      <c r="B167" s="24"/>
      <c r="C167" s="24"/>
      <c r="D167" s="24"/>
      <c r="E167" s="25"/>
      <c r="F167" s="20"/>
      <c r="G167" s="20"/>
      <c r="H167" s="20"/>
      <c r="I167" s="20"/>
      <c r="J167" s="20"/>
      <c r="K167" s="20"/>
      <c r="L167" s="20"/>
      <c r="M167" s="20"/>
      <c r="N167" s="20"/>
      <c r="O167" s="20"/>
      <c r="P167" s="20"/>
      <c r="Q167" s="20"/>
      <c r="R167" s="20"/>
      <c r="S167" s="20"/>
      <c r="T167" s="20"/>
      <c r="U167" s="20"/>
      <c r="V167" s="20"/>
      <c r="W167" s="20"/>
      <c r="X167" s="20"/>
      <c r="Y167" s="20"/>
      <c r="Z167" s="20"/>
    </row>
    <row r="168" ht="56.25" customHeight="1">
      <c r="A168" s="24"/>
      <c r="B168" s="24"/>
      <c r="C168" s="24"/>
      <c r="D168" s="24"/>
      <c r="E168" s="25"/>
      <c r="F168" s="20"/>
      <c r="G168" s="20"/>
      <c r="H168" s="20"/>
      <c r="I168" s="20"/>
      <c r="J168" s="20"/>
      <c r="K168" s="20"/>
      <c r="L168" s="20"/>
      <c r="M168" s="20"/>
      <c r="N168" s="20"/>
      <c r="O168" s="20"/>
      <c r="P168" s="20"/>
      <c r="Q168" s="20"/>
      <c r="R168" s="20"/>
      <c r="S168" s="20"/>
      <c r="T168" s="20"/>
      <c r="U168" s="20"/>
      <c r="V168" s="20"/>
      <c r="W168" s="20"/>
      <c r="X168" s="20"/>
      <c r="Y168" s="20"/>
      <c r="Z168" s="20"/>
    </row>
    <row r="169" ht="56.25" customHeight="1">
      <c r="A169" s="24"/>
      <c r="B169" s="24"/>
      <c r="C169" s="24"/>
      <c r="D169" s="24"/>
      <c r="E169" s="25"/>
      <c r="F169" s="20"/>
      <c r="G169" s="20"/>
      <c r="H169" s="20"/>
      <c r="I169" s="20"/>
      <c r="J169" s="20"/>
      <c r="K169" s="20"/>
      <c r="L169" s="20"/>
      <c r="M169" s="20"/>
      <c r="N169" s="20"/>
      <c r="O169" s="20"/>
      <c r="P169" s="20"/>
      <c r="Q169" s="20"/>
      <c r="R169" s="20"/>
      <c r="S169" s="20"/>
      <c r="T169" s="20"/>
      <c r="U169" s="20"/>
      <c r="V169" s="20"/>
      <c r="W169" s="20"/>
      <c r="X169" s="20"/>
      <c r="Y169" s="20"/>
      <c r="Z169" s="20"/>
    </row>
    <row r="170" ht="56.25" customHeight="1">
      <c r="A170" s="24"/>
      <c r="B170" s="24"/>
      <c r="C170" s="24"/>
      <c r="D170" s="24"/>
      <c r="E170" s="25"/>
      <c r="F170" s="20"/>
      <c r="G170" s="20"/>
      <c r="H170" s="20"/>
      <c r="I170" s="20"/>
      <c r="J170" s="20"/>
      <c r="K170" s="20"/>
      <c r="L170" s="20"/>
      <c r="M170" s="20"/>
      <c r="N170" s="20"/>
      <c r="O170" s="20"/>
      <c r="P170" s="20"/>
      <c r="Q170" s="20"/>
      <c r="R170" s="20"/>
      <c r="S170" s="20"/>
      <c r="T170" s="20"/>
      <c r="U170" s="20"/>
      <c r="V170" s="20"/>
      <c r="W170" s="20"/>
      <c r="X170" s="20"/>
      <c r="Y170" s="20"/>
      <c r="Z170" s="20"/>
    </row>
    <row r="171" ht="56.25" customHeight="1">
      <c r="A171" s="24"/>
      <c r="B171" s="24"/>
      <c r="C171" s="24"/>
      <c r="D171" s="24"/>
      <c r="E171" s="25"/>
      <c r="F171" s="20"/>
      <c r="G171" s="20"/>
      <c r="H171" s="20"/>
      <c r="I171" s="20"/>
      <c r="J171" s="20"/>
      <c r="K171" s="20"/>
      <c r="L171" s="20"/>
      <c r="M171" s="20"/>
      <c r="N171" s="20"/>
      <c r="O171" s="20"/>
      <c r="P171" s="20"/>
      <c r="Q171" s="20"/>
      <c r="R171" s="20"/>
      <c r="S171" s="20"/>
      <c r="T171" s="20"/>
      <c r="U171" s="20"/>
      <c r="V171" s="20"/>
      <c r="W171" s="20"/>
      <c r="X171" s="20"/>
      <c r="Y171" s="20"/>
      <c r="Z171" s="20"/>
    </row>
    <row r="172" ht="56.25" customHeight="1">
      <c r="A172" s="24"/>
      <c r="B172" s="24"/>
      <c r="C172" s="24"/>
      <c r="D172" s="24"/>
      <c r="E172" s="25"/>
      <c r="F172" s="20"/>
      <c r="G172" s="20"/>
      <c r="H172" s="20"/>
      <c r="I172" s="20"/>
      <c r="J172" s="20"/>
      <c r="K172" s="20"/>
      <c r="L172" s="20"/>
      <c r="M172" s="20"/>
      <c r="N172" s="20"/>
      <c r="O172" s="20"/>
      <c r="P172" s="20"/>
      <c r="Q172" s="20"/>
      <c r="R172" s="20"/>
      <c r="S172" s="20"/>
      <c r="T172" s="20"/>
      <c r="U172" s="20"/>
      <c r="V172" s="20"/>
      <c r="W172" s="20"/>
      <c r="X172" s="20"/>
      <c r="Y172" s="20"/>
      <c r="Z172" s="20"/>
    </row>
    <row r="173" ht="56.25" customHeight="1">
      <c r="A173" s="24"/>
      <c r="B173" s="24"/>
      <c r="C173" s="24"/>
      <c r="D173" s="24"/>
      <c r="E173" s="25"/>
      <c r="F173" s="20"/>
      <c r="G173" s="20"/>
      <c r="H173" s="20"/>
      <c r="I173" s="20"/>
      <c r="J173" s="20"/>
      <c r="K173" s="20"/>
      <c r="L173" s="20"/>
      <c r="M173" s="20"/>
      <c r="N173" s="20"/>
      <c r="O173" s="20"/>
      <c r="P173" s="20"/>
      <c r="Q173" s="20"/>
      <c r="R173" s="20"/>
      <c r="S173" s="20"/>
      <c r="T173" s="20"/>
      <c r="U173" s="20"/>
      <c r="V173" s="20"/>
      <c r="W173" s="20"/>
      <c r="X173" s="20"/>
      <c r="Y173" s="20"/>
      <c r="Z173" s="20"/>
    </row>
    <row r="174" ht="56.25" customHeight="1">
      <c r="A174" s="24"/>
      <c r="B174" s="24"/>
      <c r="C174" s="24"/>
      <c r="D174" s="24"/>
      <c r="E174" s="25"/>
      <c r="F174" s="20"/>
      <c r="G174" s="20"/>
      <c r="H174" s="20"/>
      <c r="I174" s="20"/>
      <c r="J174" s="20"/>
      <c r="K174" s="20"/>
      <c r="L174" s="20"/>
      <c r="M174" s="20"/>
      <c r="N174" s="20"/>
      <c r="O174" s="20"/>
      <c r="P174" s="20"/>
      <c r="Q174" s="20"/>
      <c r="R174" s="20"/>
      <c r="S174" s="20"/>
      <c r="T174" s="20"/>
      <c r="U174" s="20"/>
      <c r="V174" s="20"/>
      <c r="W174" s="20"/>
      <c r="X174" s="20"/>
      <c r="Y174" s="20"/>
      <c r="Z174" s="20"/>
    </row>
    <row r="175" ht="56.25" customHeight="1">
      <c r="A175" s="24"/>
      <c r="B175" s="24"/>
      <c r="C175" s="24"/>
      <c r="D175" s="24"/>
      <c r="E175" s="25"/>
      <c r="F175" s="20"/>
      <c r="G175" s="20"/>
      <c r="H175" s="20"/>
      <c r="I175" s="20"/>
      <c r="J175" s="20"/>
      <c r="K175" s="20"/>
      <c r="L175" s="20"/>
      <c r="M175" s="20"/>
      <c r="N175" s="20"/>
      <c r="O175" s="20"/>
      <c r="P175" s="20"/>
      <c r="Q175" s="20"/>
      <c r="R175" s="20"/>
      <c r="S175" s="20"/>
      <c r="T175" s="20"/>
      <c r="U175" s="20"/>
      <c r="V175" s="20"/>
      <c r="W175" s="20"/>
      <c r="X175" s="20"/>
      <c r="Y175" s="20"/>
      <c r="Z175" s="20"/>
    </row>
    <row r="176" ht="56.25" customHeight="1">
      <c r="A176" s="24"/>
      <c r="B176" s="24"/>
      <c r="C176" s="24"/>
      <c r="D176" s="24"/>
      <c r="E176" s="25"/>
      <c r="F176" s="20"/>
      <c r="G176" s="20"/>
      <c r="H176" s="20"/>
      <c r="I176" s="20"/>
      <c r="J176" s="20"/>
      <c r="K176" s="20"/>
      <c r="L176" s="20"/>
      <c r="M176" s="20"/>
      <c r="N176" s="20"/>
      <c r="O176" s="20"/>
      <c r="P176" s="20"/>
      <c r="Q176" s="20"/>
      <c r="R176" s="20"/>
      <c r="S176" s="20"/>
      <c r="T176" s="20"/>
      <c r="U176" s="20"/>
      <c r="V176" s="20"/>
      <c r="W176" s="20"/>
      <c r="X176" s="20"/>
      <c r="Y176" s="20"/>
      <c r="Z176" s="20"/>
    </row>
    <row r="177" ht="56.25" customHeight="1">
      <c r="A177" s="24"/>
      <c r="B177" s="24"/>
      <c r="C177" s="24"/>
      <c r="D177" s="24"/>
      <c r="E177" s="25"/>
      <c r="F177" s="20"/>
      <c r="G177" s="20"/>
      <c r="H177" s="20"/>
      <c r="I177" s="20"/>
      <c r="J177" s="20"/>
      <c r="K177" s="20"/>
      <c r="L177" s="20"/>
      <c r="M177" s="20"/>
      <c r="N177" s="20"/>
      <c r="O177" s="20"/>
      <c r="P177" s="20"/>
      <c r="Q177" s="20"/>
      <c r="R177" s="20"/>
      <c r="S177" s="20"/>
      <c r="T177" s="20"/>
      <c r="U177" s="20"/>
      <c r="V177" s="20"/>
      <c r="W177" s="20"/>
      <c r="X177" s="20"/>
      <c r="Y177" s="20"/>
      <c r="Z177" s="20"/>
    </row>
    <row r="178" ht="56.25" customHeight="1">
      <c r="A178" s="24"/>
      <c r="B178" s="24"/>
      <c r="C178" s="24"/>
      <c r="D178" s="24"/>
      <c r="E178" s="25"/>
      <c r="F178" s="20"/>
      <c r="G178" s="20"/>
      <c r="H178" s="20"/>
      <c r="I178" s="20"/>
      <c r="J178" s="20"/>
      <c r="K178" s="20"/>
      <c r="L178" s="20"/>
      <c r="M178" s="20"/>
      <c r="N178" s="20"/>
      <c r="O178" s="20"/>
      <c r="P178" s="20"/>
      <c r="Q178" s="20"/>
      <c r="R178" s="20"/>
      <c r="S178" s="20"/>
      <c r="T178" s="20"/>
      <c r="U178" s="20"/>
      <c r="V178" s="20"/>
      <c r="W178" s="20"/>
      <c r="X178" s="20"/>
      <c r="Y178" s="20"/>
      <c r="Z178" s="20"/>
    </row>
    <row r="179" ht="56.25" customHeight="1">
      <c r="A179" s="24"/>
      <c r="B179" s="24"/>
      <c r="C179" s="24"/>
      <c r="D179" s="24"/>
      <c r="E179" s="25"/>
      <c r="F179" s="20"/>
      <c r="G179" s="20"/>
      <c r="H179" s="20"/>
      <c r="I179" s="20"/>
      <c r="J179" s="20"/>
      <c r="K179" s="20"/>
      <c r="L179" s="20"/>
      <c r="M179" s="20"/>
      <c r="N179" s="20"/>
      <c r="O179" s="20"/>
      <c r="P179" s="20"/>
      <c r="Q179" s="20"/>
      <c r="R179" s="20"/>
      <c r="S179" s="20"/>
      <c r="T179" s="20"/>
      <c r="U179" s="20"/>
      <c r="V179" s="20"/>
      <c r="W179" s="20"/>
      <c r="X179" s="20"/>
      <c r="Y179" s="20"/>
      <c r="Z179" s="20"/>
    </row>
    <row r="180" ht="56.25" customHeight="1">
      <c r="A180" s="24"/>
      <c r="B180" s="24"/>
      <c r="C180" s="24"/>
      <c r="D180" s="24"/>
      <c r="E180" s="25"/>
      <c r="F180" s="20"/>
      <c r="G180" s="20"/>
      <c r="H180" s="20"/>
      <c r="I180" s="20"/>
      <c r="J180" s="20"/>
      <c r="K180" s="20"/>
      <c r="L180" s="20"/>
      <c r="M180" s="20"/>
      <c r="N180" s="20"/>
      <c r="O180" s="20"/>
      <c r="P180" s="20"/>
      <c r="Q180" s="20"/>
      <c r="R180" s="20"/>
      <c r="S180" s="20"/>
      <c r="T180" s="20"/>
      <c r="U180" s="20"/>
      <c r="V180" s="20"/>
      <c r="W180" s="20"/>
      <c r="X180" s="20"/>
      <c r="Y180" s="20"/>
      <c r="Z180" s="20"/>
    </row>
    <row r="181" ht="56.25" customHeight="1">
      <c r="A181" s="24"/>
      <c r="B181" s="24"/>
      <c r="C181" s="24"/>
      <c r="D181" s="24"/>
      <c r="E181" s="25"/>
      <c r="F181" s="20"/>
      <c r="G181" s="20"/>
      <c r="H181" s="20"/>
      <c r="I181" s="20"/>
      <c r="J181" s="20"/>
      <c r="K181" s="20"/>
      <c r="L181" s="20"/>
      <c r="M181" s="20"/>
      <c r="N181" s="20"/>
      <c r="O181" s="20"/>
      <c r="P181" s="20"/>
      <c r="Q181" s="20"/>
      <c r="R181" s="20"/>
      <c r="S181" s="20"/>
      <c r="T181" s="20"/>
      <c r="U181" s="20"/>
      <c r="V181" s="20"/>
      <c r="W181" s="20"/>
      <c r="X181" s="20"/>
      <c r="Y181" s="20"/>
      <c r="Z181" s="20"/>
    </row>
    <row r="182" ht="56.25" customHeight="1">
      <c r="A182" s="24"/>
      <c r="B182" s="24"/>
      <c r="C182" s="24"/>
      <c r="D182" s="24"/>
      <c r="E182" s="25"/>
      <c r="F182" s="20"/>
      <c r="G182" s="20"/>
      <c r="H182" s="20"/>
      <c r="I182" s="20"/>
      <c r="J182" s="20"/>
      <c r="K182" s="20"/>
      <c r="L182" s="20"/>
      <c r="M182" s="20"/>
      <c r="N182" s="20"/>
      <c r="O182" s="20"/>
      <c r="P182" s="20"/>
      <c r="Q182" s="20"/>
      <c r="R182" s="20"/>
      <c r="S182" s="20"/>
      <c r="T182" s="20"/>
      <c r="U182" s="20"/>
      <c r="V182" s="20"/>
      <c r="W182" s="20"/>
      <c r="X182" s="20"/>
      <c r="Y182" s="20"/>
      <c r="Z182" s="20"/>
    </row>
    <row r="183" ht="56.25" customHeight="1">
      <c r="A183" s="24"/>
      <c r="B183" s="24"/>
      <c r="C183" s="24"/>
      <c r="D183" s="24"/>
      <c r="E183" s="25"/>
      <c r="F183" s="20"/>
      <c r="G183" s="20"/>
      <c r="H183" s="20"/>
      <c r="I183" s="20"/>
      <c r="J183" s="20"/>
      <c r="K183" s="20"/>
      <c r="L183" s="20"/>
      <c r="M183" s="20"/>
      <c r="N183" s="20"/>
      <c r="O183" s="20"/>
      <c r="P183" s="20"/>
      <c r="Q183" s="20"/>
      <c r="R183" s="20"/>
      <c r="S183" s="20"/>
      <c r="T183" s="20"/>
      <c r="U183" s="20"/>
      <c r="V183" s="20"/>
      <c r="W183" s="20"/>
      <c r="X183" s="20"/>
      <c r="Y183" s="20"/>
      <c r="Z183" s="20"/>
    </row>
    <row r="184" ht="56.25" customHeight="1">
      <c r="A184" s="24"/>
      <c r="B184" s="24"/>
      <c r="C184" s="24"/>
      <c r="D184" s="24"/>
      <c r="E184" s="25"/>
      <c r="F184" s="20"/>
      <c r="G184" s="20"/>
      <c r="H184" s="20"/>
      <c r="I184" s="20"/>
      <c r="J184" s="20"/>
      <c r="K184" s="20"/>
      <c r="L184" s="20"/>
      <c r="M184" s="20"/>
      <c r="N184" s="20"/>
      <c r="O184" s="20"/>
      <c r="P184" s="20"/>
      <c r="Q184" s="20"/>
      <c r="R184" s="20"/>
      <c r="S184" s="20"/>
      <c r="T184" s="20"/>
      <c r="U184" s="20"/>
      <c r="V184" s="20"/>
      <c r="W184" s="20"/>
      <c r="X184" s="20"/>
      <c r="Y184" s="20"/>
      <c r="Z184" s="20"/>
    </row>
    <row r="185" ht="56.25" customHeight="1">
      <c r="A185" s="24"/>
      <c r="B185" s="24"/>
      <c r="C185" s="24"/>
      <c r="D185" s="24"/>
      <c r="E185" s="25"/>
      <c r="F185" s="20"/>
      <c r="G185" s="20"/>
      <c r="H185" s="20"/>
      <c r="I185" s="20"/>
      <c r="J185" s="20"/>
      <c r="K185" s="20"/>
      <c r="L185" s="20"/>
      <c r="M185" s="20"/>
      <c r="N185" s="20"/>
      <c r="O185" s="20"/>
      <c r="P185" s="20"/>
      <c r="Q185" s="20"/>
      <c r="R185" s="20"/>
      <c r="S185" s="20"/>
      <c r="T185" s="20"/>
      <c r="U185" s="20"/>
      <c r="V185" s="20"/>
      <c r="W185" s="20"/>
      <c r="X185" s="20"/>
      <c r="Y185" s="20"/>
      <c r="Z185" s="20"/>
    </row>
    <row r="186" ht="56.25" customHeight="1">
      <c r="A186" s="24"/>
      <c r="B186" s="24"/>
      <c r="C186" s="24"/>
      <c r="D186" s="24"/>
      <c r="E186" s="25"/>
      <c r="F186" s="20"/>
      <c r="G186" s="20"/>
      <c r="H186" s="20"/>
      <c r="I186" s="20"/>
      <c r="J186" s="20"/>
      <c r="K186" s="20"/>
      <c r="L186" s="20"/>
      <c r="M186" s="20"/>
      <c r="N186" s="20"/>
      <c r="O186" s="20"/>
      <c r="P186" s="20"/>
      <c r="Q186" s="20"/>
      <c r="R186" s="20"/>
      <c r="S186" s="20"/>
      <c r="T186" s="20"/>
      <c r="U186" s="20"/>
      <c r="V186" s="20"/>
      <c r="W186" s="20"/>
      <c r="X186" s="20"/>
      <c r="Y186" s="20"/>
      <c r="Z186" s="20"/>
    </row>
    <row r="187" ht="56.25" customHeight="1">
      <c r="A187" s="24"/>
      <c r="B187" s="24"/>
      <c r="C187" s="24"/>
      <c r="D187" s="24"/>
      <c r="E187" s="25"/>
      <c r="F187" s="20"/>
      <c r="G187" s="20"/>
      <c r="H187" s="20"/>
      <c r="I187" s="20"/>
      <c r="J187" s="20"/>
      <c r="K187" s="20"/>
      <c r="L187" s="20"/>
      <c r="M187" s="20"/>
      <c r="N187" s="20"/>
      <c r="O187" s="20"/>
      <c r="P187" s="20"/>
      <c r="Q187" s="20"/>
      <c r="R187" s="20"/>
      <c r="S187" s="20"/>
      <c r="T187" s="20"/>
      <c r="U187" s="20"/>
      <c r="V187" s="20"/>
      <c r="W187" s="20"/>
      <c r="X187" s="20"/>
      <c r="Y187" s="20"/>
      <c r="Z187" s="20"/>
    </row>
    <row r="188" ht="56.25" customHeight="1">
      <c r="A188" s="24"/>
      <c r="B188" s="24"/>
      <c r="C188" s="24"/>
      <c r="D188" s="24"/>
      <c r="E188" s="25"/>
      <c r="F188" s="20"/>
      <c r="G188" s="20"/>
      <c r="H188" s="20"/>
      <c r="I188" s="20"/>
      <c r="J188" s="20"/>
      <c r="K188" s="20"/>
      <c r="L188" s="20"/>
      <c r="M188" s="20"/>
      <c r="N188" s="20"/>
      <c r="O188" s="20"/>
      <c r="P188" s="20"/>
      <c r="Q188" s="20"/>
      <c r="R188" s="20"/>
      <c r="S188" s="20"/>
      <c r="T188" s="20"/>
      <c r="U188" s="20"/>
      <c r="V188" s="20"/>
      <c r="W188" s="20"/>
      <c r="X188" s="20"/>
      <c r="Y188" s="20"/>
      <c r="Z188" s="20"/>
    </row>
    <row r="189" ht="56.25" customHeight="1">
      <c r="A189" s="24"/>
      <c r="B189" s="24"/>
      <c r="C189" s="24"/>
      <c r="D189" s="24"/>
      <c r="E189" s="25"/>
      <c r="F189" s="20"/>
      <c r="G189" s="20"/>
      <c r="H189" s="20"/>
      <c r="I189" s="20"/>
      <c r="J189" s="20"/>
      <c r="K189" s="20"/>
      <c r="L189" s="20"/>
      <c r="M189" s="20"/>
      <c r="N189" s="20"/>
      <c r="O189" s="20"/>
      <c r="P189" s="20"/>
      <c r="Q189" s="20"/>
      <c r="R189" s="20"/>
      <c r="S189" s="20"/>
      <c r="T189" s="20"/>
      <c r="U189" s="20"/>
      <c r="V189" s="20"/>
      <c r="W189" s="20"/>
      <c r="X189" s="20"/>
      <c r="Y189" s="20"/>
      <c r="Z189" s="20"/>
    </row>
    <row r="190" ht="56.25" customHeight="1">
      <c r="A190" s="24"/>
      <c r="B190" s="24"/>
      <c r="C190" s="24"/>
      <c r="D190" s="24"/>
      <c r="E190" s="25"/>
      <c r="F190" s="20"/>
      <c r="G190" s="20"/>
      <c r="H190" s="20"/>
      <c r="I190" s="20"/>
      <c r="J190" s="20"/>
      <c r="K190" s="20"/>
      <c r="L190" s="20"/>
      <c r="M190" s="20"/>
      <c r="N190" s="20"/>
      <c r="O190" s="20"/>
      <c r="P190" s="20"/>
      <c r="Q190" s="20"/>
      <c r="R190" s="20"/>
      <c r="S190" s="20"/>
      <c r="T190" s="20"/>
      <c r="U190" s="20"/>
      <c r="V190" s="20"/>
      <c r="W190" s="20"/>
      <c r="X190" s="20"/>
      <c r="Y190" s="20"/>
      <c r="Z190" s="20"/>
    </row>
    <row r="191" ht="56.25" customHeight="1">
      <c r="A191" s="24"/>
      <c r="B191" s="24"/>
      <c r="C191" s="24"/>
      <c r="D191" s="24"/>
      <c r="E191" s="25"/>
      <c r="F191" s="20"/>
      <c r="G191" s="20"/>
      <c r="H191" s="20"/>
      <c r="I191" s="20"/>
      <c r="J191" s="20"/>
      <c r="K191" s="20"/>
      <c r="L191" s="20"/>
      <c r="M191" s="20"/>
      <c r="N191" s="20"/>
      <c r="O191" s="20"/>
      <c r="P191" s="20"/>
      <c r="Q191" s="20"/>
      <c r="R191" s="20"/>
      <c r="S191" s="20"/>
      <c r="T191" s="20"/>
      <c r="U191" s="20"/>
      <c r="V191" s="20"/>
      <c r="W191" s="20"/>
      <c r="X191" s="20"/>
      <c r="Y191" s="20"/>
      <c r="Z191" s="20"/>
    </row>
    <row r="192" ht="56.25" customHeight="1">
      <c r="A192" s="24"/>
      <c r="B192" s="24"/>
      <c r="C192" s="24"/>
      <c r="D192" s="24"/>
      <c r="E192" s="25"/>
      <c r="F192" s="20"/>
      <c r="G192" s="20"/>
      <c r="H192" s="20"/>
      <c r="I192" s="20"/>
      <c r="J192" s="20"/>
      <c r="K192" s="20"/>
      <c r="L192" s="20"/>
      <c r="M192" s="20"/>
      <c r="N192" s="20"/>
      <c r="O192" s="20"/>
      <c r="P192" s="20"/>
      <c r="Q192" s="20"/>
      <c r="R192" s="20"/>
      <c r="S192" s="20"/>
      <c r="T192" s="20"/>
      <c r="U192" s="20"/>
      <c r="V192" s="20"/>
      <c r="W192" s="20"/>
      <c r="X192" s="20"/>
      <c r="Y192" s="20"/>
      <c r="Z192" s="20"/>
    </row>
    <row r="193" ht="56.25" customHeight="1">
      <c r="A193" s="24"/>
      <c r="B193" s="24"/>
      <c r="C193" s="24"/>
      <c r="D193" s="24"/>
      <c r="E193" s="25"/>
      <c r="F193" s="20"/>
      <c r="G193" s="20"/>
      <c r="H193" s="20"/>
      <c r="I193" s="20"/>
      <c r="J193" s="20"/>
      <c r="K193" s="20"/>
      <c r="L193" s="20"/>
      <c r="M193" s="20"/>
      <c r="N193" s="20"/>
      <c r="O193" s="20"/>
      <c r="P193" s="20"/>
      <c r="Q193" s="20"/>
      <c r="R193" s="20"/>
      <c r="S193" s="20"/>
      <c r="T193" s="20"/>
      <c r="U193" s="20"/>
      <c r="V193" s="20"/>
      <c r="W193" s="20"/>
      <c r="X193" s="20"/>
      <c r="Y193" s="20"/>
      <c r="Z193" s="20"/>
    </row>
    <row r="194" ht="56.25" customHeight="1">
      <c r="A194" s="24"/>
      <c r="B194" s="24"/>
      <c r="C194" s="24"/>
      <c r="D194" s="24"/>
      <c r="E194" s="25"/>
      <c r="F194" s="20"/>
      <c r="G194" s="20"/>
      <c r="H194" s="20"/>
      <c r="I194" s="20"/>
      <c r="J194" s="20"/>
      <c r="K194" s="20"/>
      <c r="L194" s="20"/>
      <c r="M194" s="20"/>
      <c r="N194" s="20"/>
      <c r="O194" s="20"/>
      <c r="P194" s="20"/>
      <c r="Q194" s="20"/>
      <c r="R194" s="20"/>
      <c r="S194" s="20"/>
      <c r="T194" s="20"/>
      <c r="U194" s="20"/>
      <c r="V194" s="20"/>
      <c r="W194" s="20"/>
      <c r="X194" s="20"/>
      <c r="Y194" s="20"/>
      <c r="Z194" s="20"/>
    </row>
    <row r="195" ht="56.25" customHeight="1">
      <c r="A195" s="24"/>
      <c r="B195" s="24"/>
      <c r="C195" s="24"/>
      <c r="D195" s="24"/>
      <c r="E195" s="25"/>
      <c r="F195" s="20"/>
      <c r="G195" s="20"/>
      <c r="H195" s="20"/>
      <c r="I195" s="20"/>
      <c r="J195" s="20"/>
      <c r="K195" s="20"/>
      <c r="L195" s="20"/>
      <c r="M195" s="20"/>
      <c r="N195" s="20"/>
      <c r="O195" s="20"/>
      <c r="P195" s="20"/>
      <c r="Q195" s="20"/>
      <c r="R195" s="20"/>
      <c r="S195" s="20"/>
      <c r="T195" s="20"/>
      <c r="U195" s="20"/>
      <c r="V195" s="20"/>
      <c r="W195" s="20"/>
      <c r="X195" s="20"/>
      <c r="Y195" s="20"/>
      <c r="Z195" s="20"/>
    </row>
    <row r="196" ht="56.25" customHeight="1">
      <c r="A196" s="24"/>
      <c r="B196" s="24"/>
      <c r="C196" s="24"/>
      <c r="D196" s="24"/>
      <c r="E196" s="25"/>
      <c r="F196" s="20"/>
      <c r="G196" s="20"/>
      <c r="H196" s="20"/>
      <c r="I196" s="20"/>
      <c r="J196" s="20"/>
      <c r="K196" s="20"/>
      <c r="L196" s="20"/>
      <c r="M196" s="20"/>
      <c r="N196" s="20"/>
      <c r="O196" s="20"/>
      <c r="P196" s="20"/>
      <c r="Q196" s="20"/>
      <c r="R196" s="20"/>
      <c r="S196" s="20"/>
      <c r="T196" s="20"/>
      <c r="U196" s="20"/>
      <c r="V196" s="20"/>
      <c r="W196" s="20"/>
      <c r="X196" s="20"/>
      <c r="Y196" s="20"/>
      <c r="Z196" s="20"/>
    </row>
    <row r="197" ht="56.25" customHeight="1">
      <c r="A197" s="24"/>
      <c r="B197" s="24"/>
      <c r="C197" s="24"/>
      <c r="D197" s="24"/>
      <c r="E197" s="25"/>
      <c r="F197" s="20"/>
      <c r="G197" s="20"/>
      <c r="H197" s="20"/>
      <c r="I197" s="20"/>
      <c r="J197" s="20"/>
      <c r="K197" s="20"/>
      <c r="L197" s="20"/>
      <c r="M197" s="20"/>
      <c r="N197" s="20"/>
      <c r="O197" s="20"/>
      <c r="P197" s="20"/>
      <c r="Q197" s="20"/>
      <c r="R197" s="20"/>
      <c r="S197" s="20"/>
      <c r="T197" s="20"/>
      <c r="U197" s="20"/>
      <c r="V197" s="20"/>
      <c r="W197" s="20"/>
      <c r="X197" s="20"/>
      <c r="Y197" s="20"/>
      <c r="Z197" s="20"/>
    </row>
    <row r="198" ht="56.25" customHeight="1">
      <c r="A198" s="24"/>
      <c r="B198" s="24"/>
      <c r="C198" s="24"/>
      <c r="D198" s="24"/>
      <c r="E198" s="25"/>
      <c r="F198" s="20"/>
      <c r="G198" s="20"/>
      <c r="H198" s="20"/>
      <c r="I198" s="20"/>
      <c r="J198" s="20"/>
      <c r="K198" s="20"/>
      <c r="L198" s="20"/>
      <c r="M198" s="20"/>
      <c r="N198" s="20"/>
      <c r="O198" s="20"/>
      <c r="P198" s="20"/>
      <c r="Q198" s="20"/>
      <c r="R198" s="20"/>
      <c r="S198" s="20"/>
      <c r="T198" s="20"/>
      <c r="U198" s="20"/>
      <c r="V198" s="20"/>
      <c r="W198" s="20"/>
      <c r="X198" s="20"/>
      <c r="Y198" s="20"/>
      <c r="Z198" s="20"/>
    </row>
    <row r="199" ht="56.25" customHeight="1">
      <c r="A199" s="24"/>
      <c r="B199" s="24"/>
      <c r="C199" s="24"/>
      <c r="D199" s="24"/>
      <c r="E199" s="25"/>
      <c r="F199" s="20"/>
      <c r="G199" s="20"/>
      <c r="H199" s="20"/>
      <c r="I199" s="20"/>
      <c r="J199" s="20"/>
      <c r="K199" s="20"/>
      <c r="L199" s="20"/>
      <c r="M199" s="20"/>
      <c r="N199" s="20"/>
      <c r="O199" s="20"/>
      <c r="P199" s="20"/>
      <c r="Q199" s="20"/>
      <c r="R199" s="20"/>
      <c r="S199" s="20"/>
      <c r="T199" s="20"/>
      <c r="U199" s="20"/>
      <c r="V199" s="20"/>
      <c r="W199" s="20"/>
      <c r="X199" s="20"/>
      <c r="Y199" s="20"/>
      <c r="Z199" s="20"/>
    </row>
    <row r="200" ht="56.25" customHeight="1">
      <c r="A200" s="24"/>
      <c r="B200" s="24"/>
      <c r="C200" s="24"/>
      <c r="D200" s="24"/>
      <c r="E200" s="25"/>
      <c r="F200" s="20"/>
      <c r="G200" s="20"/>
      <c r="H200" s="20"/>
      <c r="I200" s="20"/>
      <c r="J200" s="20"/>
      <c r="K200" s="20"/>
      <c r="L200" s="20"/>
      <c r="M200" s="20"/>
      <c r="N200" s="20"/>
      <c r="O200" s="20"/>
      <c r="P200" s="20"/>
      <c r="Q200" s="20"/>
      <c r="R200" s="20"/>
      <c r="S200" s="20"/>
      <c r="T200" s="20"/>
      <c r="U200" s="20"/>
      <c r="V200" s="20"/>
      <c r="W200" s="20"/>
      <c r="X200" s="20"/>
      <c r="Y200" s="20"/>
      <c r="Z200" s="20"/>
    </row>
    <row r="201" ht="56.25" customHeight="1">
      <c r="A201" s="24"/>
      <c r="B201" s="24"/>
      <c r="C201" s="24"/>
      <c r="D201" s="24"/>
      <c r="E201" s="25"/>
      <c r="F201" s="20"/>
      <c r="G201" s="20"/>
      <c r="H201" s="20"/>
      <c r="I201" s="20"/>
      <c r="J201" s="20"/>
      <c r="K201" s="20"/>
      <c r="L201" s="20"/>
      <c r="M201" s="20"/>
      <c r="N201" s="20"/>
      <c r="O201" s="20"/>
      <c r="P201" s="20"/>
      <c r="Q201" s="20"/>
      <c r="R201" s="20"/>
      <c r="S201" s="20"/>
      <c r="T201" s="20"/>
      <c r="U201" s="20"/>
      <c r="V201" s="20"/>
      <c r="W201" s="20"/>
      <c r="X201" s="20"/>
      <c r="Y201" s="20"/>
      <c r="Z201" s="20"/>
    </row>
    <row r="202" ht="56.25" customHeight="1">
      <c r="A202" s="24"/>
      <c r="B202" s="24"/>
      <c r="C202" s="24"/>
      <c r="D202" s="24"/>
      <c r="E202" s="25"/>
      <c r="F202" s="20"/>
      <c r="G202" s="20"/>
      <c r="H202" s="20"/>
      <c r="I202" s="20"/>
      <c r="J202" s="20"/>
      <c r="K202" s="20"/>
      <c r="L202" s="20"/>
      <c r="M202" s="20"/>
      <c r="N202" s="20"/>
      <c r="O202" s="20"/>
      <c r="P202" s="20"/>
      <c r="Q202" s="20"/>
      <c r="R202" s="20"/>
      <c r="S202" s="20"/>
      <c r="T202" s="20"/>
      <c r="U202" s="20"/>
      <c r="V202" s="20"/>
      <c r="W202" s="20"/>
      <c r="X202" s="20"/>
      <c r="Y202" s="20"/>
      <c r="Z202" s="20"/>
    </row>
    <row r="203" ht="56.25" customHeight="1">
      <c r="A203" s="24"/>
      <c r="B203" s="24"/>
      <c r="C203" s="24"/>
      <c r="D203" s="24"/>
      <c r="E203" s="25"/>
      <c r="F203" s="20"/>
      <c r="G203" s="20"/>
      <c r="H203" s="20"/>
      <c r="I203" s="20"/>
      <c r="J203" s="20"/>
      <c r="K203" s="20"/>
      <c r="L203" s="20"/>
      <c r="M203" s="20"/>
      <c r="N203" s="20"/>
      <c r="O203" s="20"/>
      <c r="P203" s="20"/>
      <c r="Q203" s="20"/>
      <c r="R203" s="20"/>
      <c r="S203" s="20"/>
      <c r="T203" s="20"/>
      <c r="U203" s="20"/>
      <c r="V203" s="20"/>
      <c r="W203" s="20"/>
      <c r="X203" s="20"/>
      <c r="Y203" s="20"/>
      <c r="Z203" s="20"/>
    </row>
    <row r="204" ht="56.25" customHeight="1">
      <c r="A204" s="24"/>
      <c r="B204" s="24"/>
      <c r="C204" s="24"/>
      <c r="D204" s="24"/>
      <c r="E204" s="25"/>
      <c r="F204" s="20"/>
      <c r="G204" s="20"/>
      <c r="H204" s="20"/>
      <c r="I204" s="20"/>
      <c r="J204" s="20"/>
      <c r="K204" s="20"/>
      <c r="L204" s="20"/>
      <c r="M204" s="20"/>
      <c r="N204" s="20"/>
      <c r="O204" s="20"/>
      <c r="P204" s="20"/>
      <c r="Q204" s="20"/>
      <c r="R204" s="20"/>
      <c r="S204" s="20"/>
      <c r="T204" s="20"/>
      <c r="U204" s="20"/>
      <c r="V204" s="20"/>
      <c r="W204" s="20"/>
      <c r="X204" s="20"/>
      <c r="Y204" s="20"/>
      <c r="Z204" s="20"/>
    </row>
    <row r="205" ht="56.25" customHeight="1">
      <c r="A205" s="24"/>
      <c r="B205" s="24"/>
      <c r="C205" s="24"/>
      <c r="D205" s="24"/>
      <c r="E205" s="25"/>
      <c r="F205" s="20"/>
      <c r="G205" s="20"/>
      <c r="H205" s="20"/>
      <c r="I205" s="20"/>
      <c r="J205" s="20"/>
      <c r="K205" s="20"/>
      <c r="L205" s="20"/>
      <c r="M205" s="20"/>
      <c r="N205" s="20"/>
      <c r="O205" s="20"/>
      <c r="P205" s="20"/>
      <c r="Q205" s="20"/>
      <c r="R205" s="20"/>
      <c r="S205" s="20"/>
      <c r="T205" s="20"/>
      <c r="U205" s="20"/>
      <c r="V205" s="20"/>
      <c r="W205" s="20"/>
      <c r="X205" s="20"/>
      <c r="Y205" s="20"/>
      <c r="Z205" s="20"/>
    </row>
    <row r="206" ht="56.25" customHeight="1">
      <c r="A206" s="24"/>
      <c r="B206" s="24"/>
      <c r="C206" s="24"/>
      <c r="D206" s="24"/>
      <c r="E206" s="25"/>
      <c r="F206" s="20"/>
      <c r="G206" s="20"/>
      <c r="H206" s="20"/>
      <c r="I206" s="20"/>
      <c r="J206" s="20"/>
      <c r="K206" s="20"/>
      <c r="L206" s="20"/>
      <c r="M206" s="20"/>
      <c r="N206" s="20"/>
      <c r="O206" s="20"/>
      <c r="P206" s="20"/>
      <c r="Q206" s="20"/>
      <c r="R206" s="20"/>
      <c r="S206" s="20"/>
      <c r="T206" s="20"/>
      <c r="U206" s="20"/>
      <c r="V206" s="20"/>
      <c r="W206" s="20"/>
      <c r="X206" s="20"/>
      <c r="Y206" s="20"/>
      <c r="Z206" s="20"/>
    </row>
    <row r="207" ht="56.25" customHeight="1">
      <c r="A207" s="24"/>
      <c r="B207" s="24"/>
      <c r="C207" s="24"/>
      <c r="D207" s="24"/>
      <c r="E207" s="25"/>
      <c r="F207" s="20"/>
      <c r="G207" s="20"/>
      <c r="H207" s="20"/>
      <c r="I207" s="20"/>
      <c r="J207" s="20"/>
      <c r="K207" s="20"/>
      <c r="L207" s="20"/>
      <c r="M207" s="20"/>
      <c r="N207" s="20"/>
      <c r="O207" s="20"/>
      <c r="P207" s="20"/>
      <c r="Q207" s="20"/>
      <c r="R207" s="20"/>
      <c r="S207" s="20"/>
      <c r="T207" s="20"/>
      <c r="U207" s="20"/>
      <c r="V207" s="20"/>
      <c r="W207" s="20"/>
      <c r="X207" s="20"/>
      <c r="Y207" s="20"/>
      <c r="Z207" s="20"/>
    </row>
    <row r="208" ht="56.25" customHeight="1">
      <c r="A208" s="24"/>
      <c r="B208" s="24"/>
      <c r="C208" s="24"/>
      <c r="D208" s="24"/>
      <c r="E208" s="25"/>
      <c r="F208" s="20"/>
      <c r="G208" s="20"/>
      <c r="H208" s="20"/>
      <c r="I208" s="20"/>
      <c r="J208" s="20"/>
      <c r="K208" s="20"/>
      <c r="L208" s="20"/>
      <c r="M208" s="20"/>
      <c r="N208" s="20"/>
      <c r="O208" s="20"/>
      <c r="P208" s="20"/>
      <c r="Q208" s="20"/>
      <c r="R208" s="20"/>
      <c r="S208" s="20"/>
      <c r="T208" s="20"/>
      <c r="U208" s="20"/>
      <c r="V208" s="20"/>
      <c r="W208" s="20"/>
      <c r="X208" s="20"/>
      <c r="Y208" s="20"/>
      <c r="Z208" s="20"/>
    </row>
    <row r="209" ht="56.25" customHeight="1">
      <c r="A209" s="24"/>
      <c r="B209" s="24"/>
      <c r="C209" s="24"/>
      <c r="D209" s="24"/>
      <c r="E209" s="25"/>
      <c r="F209" s="20"/>
      <c r="G209" s="20"/>
      <c r="H209" s="20"/>
      <c r="I209" s="20"/>
      <c r="J209" s="20"/>
      <c r="K209" s="20"/>
      <c r="L209" s="20"/>
      <c r="M209" s="20"/>
      <c r="N209" s="20"/>
      <c r="O209" s="20"/>
      <c r="P209" s="20"/>
      <c r="Q209" s="20"/>
      <c r="R209" s="20"/>
      <c r="S209" s="20"/>
      <c r="T209" s="20"/>
      <c r="U209" s="20"/>
      <c r="V209" s="20"/>
      <c r="W209" s="20"/>
      <c r="X209" s="20"/>
      <c r="Y209" s="20"/>
      <c r="Z209" s="20"/>
    </row>
    <row r="210" ht="56.25" customHeight="1">
      <c r="A210" s="24"/>
      <c r="B210" s="24"/>
      <c r="C210" s="24"/>
      <c r="D210" s="24"/>
      <c r="E210" s="25"/>
      <c r="F210" s="20"/>
      <c r="G210" s="20"/>
      <c r="H210" s="20"/>
      <c r="I210" s="20"/>
      <c r="J210" s="20"/>
      <c r="K210" s="20"/>
      <c r="L210" s="20"/>
      <c r="M210" s="20"/>
      <c r="N210" s="20"/>
      <c r="O210" s="20"/>
      <c r="P210" s="20"/>
      <c r="Q210" s="20"/>
      <c r="R210" s="20"/>
      <c r="S210" s="20"/>
      <c r="T210" s="20"/>
      <c r="U210" s="20"/>
      <c r="V210" s="20"/>
      <c r="W210" s="20"/>
      <c r="X210" s="20"/>
      <c r="Y210" s="20"/>
      <c r="Z210" s="20"/>
    </row>
    <row r="211" ht="56.25" customHeight="1">
      <c r="A211" s="24"/>
      <c r="B211" s="24"/>
      <c r="C211" s="24"/>
      <c r="D211" s="24"/>
      <c r="E211" s="25"/>
      <c r="F211" s="20"/>
      <c r="G211" s="20"/>
      <c r="H211" s="20"/>
      <c r="I211" s="20"/>
      <c r="J211" s="20"/>
      <c r="K211" s="20"/>
      <c r="L211" s="20"/>
      <c r="M211" s="20"/>
      <c r="N211" s="20"/>
      <c r="O211" s="20"/>
      <c r="P211" s="20"/>
      <c r="Q211" s="20"/>
      <c r="R211" s="20"/>
      <c r="S211" s="20"/>
      <c r="T211" s="20"/>
      <c r="U211" s="20"/>
      <c r="V211" s="20"/>
      <c r="W211" s="20"/>
      <c r="X211" s="20"/>
      <c r="Y211" s="20"/>
      <c r="Z211" s="20"/>
    </row>
    <row r="212" ht="56.25" customHeight="1">
      <c r="A212" s="24"/>
      <c r="B212" s="24"/>
      <c r="C212" s="24"/>
      <c r="D212" s="24"/>
      <c r="E212" s="25"/>
      <c r="F212" s="20"/>
      <c r="G212" s="20"/>
      <c r="H212" s="20"/>
      <c r="I212" s="20"/>
      <c r="J212" s="20"/>
      <c r="K212" s="20"/>
      <c r="L212" s="20"/>
      <c r="M212" s="20"/>
      <c r="N212" s="20"/>
      <c r="O212" s="20"/>
      <c r="P212" s="20"/>
      <c r="Q212" s="20"/>
      <c r="R212" s="20"/>
      <c r="S212" s="20"/>
      <c r="T212" s="20"/>
      <c r="U212" s="20"/>
      <c r="V212" s="20"/>
      <c r="W212" s="20"/>
      <c r="X212" s="20"/>
      <c r="Y212" s="20"/>
      <c r="Z212" s="20"/>
    </row>
    <row r="213" ht="56.25" customHeight="1">
      <c r="A213" s="24"/>
      <c r="B213" s="24"/>
      <c r="C213" s="24"/>
      <c r="D213" s="24"/>
      <c r="E213" s="25"/>
      <c r="F213" s="20"/>
      <c r="G213" s="20"/>
      <c r="H213" s="20"/>
      <c r="I213" s="20"/>
      <c r="J213" s="20"/>
      <c r="K213" s="20"/>
      <c r="L213" s="20"/>
      <c r="M213" s="20"/>
      <c r="N213" s="20"/>
      <c r="O213" s="20"/>
      <c r="P213" s="20"/>
      <c r="Q213" s="20"/>
      <c r="R213" s="20"/>
      <c r="S213" s="20"/>
      <c r="T213" s="20"/>
      <c r="U213" s="20"/>
      <c r="V213" s="20"/>
      <c r="W213" s="20"/>
      <c r="X213" s="20"/>
      <c r="Y213" s="20"/>
      <c r="Z213" s="20"/>
    </row>
    <row r="214" ht="56.25" customHeight="1">
      <c r="A214" s="24"/>
      <c r="B214" s="24"/>
      <c r="C214" s="24"/>
      <c r="D214" s="24"/>
      <c r="E214" s="25"/>
      <c r="F214" s="20"/>
      <c r="G214" s="20"/>
      <c r="H214" s="20"/>
      <c r="I214" s="20"/>
      <c r="J214" s="20"/>
      <c r="K214" s="20"/>
      <c r="L214" s="20"/>
      <c r="M214" s="20"/>
      <c r="N214" s="20"/>
      <c r="O214" s="20"/>
      <c r="P214" s="20"/>
      <c r="Q214" s="20"/>
      <c r="R214" s="20"/>
      <c r="S214" s="20"/>
      <c r="T214" s="20"/>
      <c r="U214" s="20"/>
      <c r="V214" s="20"/>
      <c r="W214" s="20"/>
      <c r="X214" s="20"/>
      <c r="Y214" s="20"/>
      <c r="Z214" s="20"/>
    </row>
    <row r="215" ht="56.25" customHeight="1">
      <c r="A215" s="24"/>
      <c r="B215" s="24"/>
      <c r="C215" s="24"/>
      <c r="D215" s="24"/>
      <c r="E215" s="25"/>
      <c r="F215" s="20"/>
      <c r="G215" s="20"/>
      <c r="H215" s="20"/>
      <c r="I215" s="20"/>
      <c r="J215" s="20"/>
      <c r="K215" s="20"/>
      <c r="L215" s="20"/>
      <c r="M215" s="20"/>
      <c r="N215" s="20"/>
      <c r="O215" s="20"/>
      <c r="P215" s="20"/>
      <c r="Q215" s="20"/>
      <c r="R215" s="20"/>
      <c r="S215" s="20"/>
      <c r="T215" s="20"/>
      <c r="U215" s="20"/>
      <c r="V215" s="20"/>
      <c r="W215" s="20"/>
      <c r="X215" s="20"/>
      <c r="Y215" s="20"/>
      <c r="Z215" s="20"/>
    </row>
    <row r="216" ht="56.25" customHeight="1">
      <c r="A216" s="24"/>
      <c r="B216" s="24"/>
      <c r="C216" s="24"/>
      <c r="D216" s="24"/>
      <c r="E216" s="25"/>
      <c r="F216" s="20"/>
      <c r="G216" s="20"/>
      <c r="H216" s="20"/>
      <c r="I216" s="20"/>
      <c r="J216" s="20"/>
      <c r="K216" s="20"/>
      <c r="L216" s="20"/>
      <c r="M216" s="20"/>
      <c r="N216" s="20"/>
      <c r="O216" s="20"/>
      <c r="P216" s="20"/>
      <c r="Q216" s="20"/>
      <c r="R216" s="20"/>
      <c r="S216" s="20"/>
      <c r="T216" s="20"/>
      <c r="U216" s="20"/>
      <c r="V216" s="20"/>
      <c r="W216" s="20"/>
      <c r="X216" s="20"/>
      <c r="Y216" s="20"/>
      <c r="Z216" s="20"/>
    </row>
    <row r="217" ht="56.25" customHeight="1">
      <c r="A217" s="24"/>
      <c r="B217" s="24"/>
      <c r="C217" s="24"/>
      <c r="D217" s="24"/>
      <c r="E217" s="25"/>
      <c r="F217" s="20"/>
      <c r="G217" s="20"/>
      <c r="H217" s="20"/>
      <c r="I217" s="20"/>
      <c r="J217" s="20"/>
      <c r="K217" s="20"/>
      <c r="L217" s="20"/>
      <c r="M217" s="20"/>
      <c r="N217" s="20"/>
      <c r="O217" s="20"/>
      <c r="P217" s="20"/>
      <c r="Q217" s="20"/>
      <c r="R217" s="20"/>
      <c r="S217" s="20"/>
      <c r="T217" s="20"/>
      <c r="U217" s="20"/>
      <c r="V217" s="20"/>
      <c r="W217" s="20"/>
      <c r="X217" s="20"/>
      <c r="Y217" s="20"/>
      <c r="Z217" s="20"/>
    </row>
    <row r="218" ht="56.25" customHeight="1">
      <c r="A218" s="24"/>
      <c r="B218" s="24"/>
      <c r="C218" s="24"/>
      <c r="D218" s="24"/>
      <c r="E218" s="25"/>
      <c r="F218" s="20"/>
      <c r="G218" s="20"/>
      <c r="H218" s="20"/>
      <c r="I218" s="20"/>
      <c r="J218" s="20"/>
      <c r="K218" s="20"/>
      <c r="L218" s="20"/>
      <c r="M218" s="20"/>
      <c r="N218" s="20"/>
      <c r="O218" s="20"/>
      <c r="P218" s="20"/>
      <c r="Q218" s="20"/>
      <c r="R218" s="20"/>
      <c r="S218" s="20"/>
      <c r="T218" s="20"/>
      <c r="U218" s="20"/>
      <c r="V218" s="20"/>
      <c r="W218" s="20"/>
      <c r="X218" s="20"/>
      <c r="Y218" s="20"/>
      <c r="Z218" s="20"/>
    </row>
    <row r="219" ht="56.25" customHeight="1">
      <c r="A219" s="24"/>
      <c r="B219" s="24"/>
      <c r="C219" s="24"/>
      <c r="D219" s="24"/>
      <c r="E219" s="25"/>
      <c r="F219" s="20"/>
      <c r="G219" s="20"/>
      <c r="H219" s="20"/>
      <c r="I219" s="20"/>
      <c r="J219" s="20"/>
      <c r="K219" s="20"/>
      <c r="L219" s="20"/>
      <c r="M219" s="20"/>
      <c r="N219" s="20"/>
      <c r="O219" s="20"/>
      <c r="P219" s="20"/>
      <c r="Q219" s="20"/>
      <c r="R219" s="20"/>
      <c r="S219" s="20"/>
      <c r="T219" s="20"/>
      <c r="U219" s="20"/>
      <c r="V219" s="20"/>
      <c r="W219" s="20"/>
      <c r="X219" s="20"/>
      <c r="Y219" s="20"/>
      <c r="Z219" s="20"/>
    </row>
    <row r="220" ht="56.25" customHeight="1">
      <c r="A220" s="24"/>
      <c r="B220" s="24"/>
      <c r="C220" s="24"/>
      <c r="D220" s="24"/>
      <c r="E220" s="25"/>
      <c r="F220" s="20"/>
      <c r="G220" s="20"/>
      <c r="H220" s="20"/>
      <c r="I220" s="20"/>
      <c r="J220" s="20"/>
      <c r="K220" s="20"/>
      <c r="L220" s="20"/>
      <c r="M220" s="20"/>
      <c r="N220" s="20"/>
      <c r="O220" s="20"/>
      <c r="P220" s="20"/>
      <c r="Q220" s="20"/>
      <c r="R220" s="20"/>
      <c r="S220" s="20"/>
      <c r="T220" s="20"/>
      <c r="U220" s="20"/>
      <c r="V220" s="20"/>
      <c r="W220" s="20"/>
      <c r="X220" s="20"/>
      <c r="Y220" s="20"/>
      <c r="Z220" s="20"/>
    </row>
    <row r="221" ht="56.25" customHeight="1">
      <c r="A221" s="24"/>
      <c r="B221" s="24"/>
      <c r="C221" s="24"/>
      <c r="D221" s="24"/>
      <c r="E221" s="25"/>
      <c r="F221" s="20"/>
      <c r="G221" s="20"/>
      <c r="H221" s="20"/>
      <c r="I221" s="20"/>
      <c r="J221" s="20"/>
      <c r="K221" s="20"/>
      <c r="L221" s="20"/>
      <c r="M221" s="20"/>
      <c r="N221" s="20"/>
      <c r="O221" s="20"/>
      <c r="P221" s="20"/>
      <c r="Q221" s="20"/>
      <c r="R221" s="20"/>
      <c r="S221" s="20"/>
      <c r="T221" s="20"/>
      <c r="U221" s="20"/>
      <c r="V221" s="20"/>
      <c r="W221" s="20"/>
      <c r="X221" s="20"/>
      <c r="Y221" s="20"/>
      <c r="Z221" s="20"/>
    </row>
    <row r="222" ht="56.25" customHeight="1">
      <c r="A222" s="24"/>
      <c r="B222" s="24"/>
      <c r="C222" s="24"/>
      <c r="D222" s="24"/>
      <c r="E222" s="25"/>
      <c r="F222" s="20"/>
      <c r="G222" s="20"/>
      <c r="H222" s="20"/>
      <c r="I222" s="20"/>
      <c r="J222" s="20"/>
      <c r="K222" s="20"/>
      <c r="L222" s="20"/>
      <c r="M222" s="20"/>
      <c r="N222" s="20"/>
      <c r="O222" s="20"/>
      <c r="P222" s="20"/>
      <c r="Q222" s="20"/>
      <c r="R222" s="20"/>
      <c r="S222" s="20"/>
      <c r="T222" s="20"/>
      <c r="U222" s="20"/>
      <c r="V222" s="20"/>
      <c r="W222" s="20"/>
      <c r="X222" s="20"/>
      <c r="Y222" s="20"/>
      <c r="Z222" s="20"/>
    </row>
    <row r="223" ht="56.25" customHeight="1">
      <c r="A223" s="24"/>
      <c r="B223" s="24"/>
      <c r="C223" s="24"/>
      <c r="D223" s="24"/>
      <c r="E223" s="25"/>
      <c r="F223" s="20"/>
      <c r="G223" s="20"/>
      <c r="H223" s="20"/>
      <c r="I223" s="20"/>
      <c r="J223" s="20"/>
      <c r="K223" s="20"/>
      <c r="L223" s="20"/>
      <c r="M223" s="20"/>
      <c r="N223" s="20"/>
      <c r="O223" s="20"/>
      <c r="P223" s="20"/>
      <c r="Q223" s="20"/>
      <c r="R223" s="20"/>
      <c r="S223" s="20"/>
      <c r="T223" s="20"/>
      <c r="U223" s="20"/>
      <c r="V223" s="20"/>
      <c r="W223" s="20"/>
      <c r="X223" s="20"/>
      <c r="Y223" s="20"/>
      <c r="Z223" s="20"/>
    </row>
    <row r="224" ht="56.25" customHeight="1">
      <c r="A224" s="24"/>
      <c r="B224" s="24"/>
      <c r="C224" s="24"/>
      <c r="D224" s="24"/>
      <c r="E224" s="25"/>
      <c r="F224" s="20"/>
      <c r="G224" s="20"/>
      <c r="H224" s="20"/>
      <c r="I224" s="20"/>
      <c r="J224" s="20"/>
      <c r="K224" s="20"/>
      <c r="L224" s="20"/>
      <c r="M224" s="20"/>
      <c r="N224" s="20"/>
      <c r="O224" s="20"/>
      <c r="P224" s="20"/>
      <c r="Q224" s="20"/>
      <c r="R224" s="20"/>
      <c r="S224" s="20"/>
      <c r="T224" s="20"/>
      <c r="U224" s="20"/>
      <c r="V224" s="20"/>
      <c r="W224" s="20"/>
      <c r="X224" s="20"/>
      <c r="Y224" s="20"/>
      <c r="Z224" s="20"/>
    </row>
    <row r="225" ht="56.25" customHeight="1">
      <c r="A225" s="24"/>
      <c r="B225" s="24"/>
      <c r="C225" s="24"/>
      <c r="D225" s="24"/>
      <c r="E225" s="25"/>
      <c r="F225" s="20"/>
      <c r="G225" s="20"/>
      <c r="H225" s="20"/>
      <c r="I225" s="20"/>
      <c r="J225" s="20"/>
      <c r="K225" s="20"/>
      <c r="L225" s="20"/>
      <c r="M225" s="20"/>
      <c r="N225" s="20"/>
      <c r="O225" s="20"/>
      <c r="P225" s="20"/>
      <c r="Q225" s="20"/>
      <c r="R225" s="20"/>
      <c r="S225" s="20"/>
      <c r="T225" s="20"/>
      <c r="U225" s="20"/>
      <c r="V225" s="20"/>
      <c r="W225" s="20"/>
      <c r="X225" s="20"/>
      <c r="Y225" s="20"/>
      <c r="Z225" s="20"/>
    </row>
    <row r="226" ht="56.25" customHeight="1">
      <c r="A226" s="24"/>
      <c r="B226" s="24"/>
      <c r="C226" s="24"/>
      <c r="D226" s="24"/>
      <c r="E226" s="25"/>
      <c r="F226" s="20"/>
      <c r="G226" s="20"/>
      <c r="H226" s="20"/>
      <c r="I226" s="20"/>
      <c r="J226" s="20"/>
      <c r="K226" s="20"/>
      <c r="L226" s="20"/>
      <c r="M226" s="20"/>
      <c r="N226" s="20"/>
      <c r="O226" s="20"/>
      <c r="P226" s="20"/>
      <c r="Q226" s="20"/>
      <c r="R226" s="20"/>
      <c r="S226" s="20"/>
      <c r="T226" s="20"/>
      <c r="U226" s="20"/>
      <c r="V226" s="20"/>
      <c r="W226" s="20"/>
      <c r="X226" s="20"/>
      <c r="Y226" s="20"/>
      <c r="Z226" s="20"/>
    </row>
    <row r="227" ht="56.25" customHeight="1">
      <c r="A227" s="24"/>
      <c r="B227" s="24"/>
      <c r="C227" s="24"/>
      <c r="D227" s="24"/>
      <c r="E227" s="25"/>
      <c r="F227" s="20"/>
      <c r="G227" s="20"/>
      <c r="H227" s="20"/>
      <c r="I227" s="20"/>
      <c r="J227" s="20"/>
      <c r="K227" s="20"/>
      <c r="L227" s="20"/>
      <c r="M227" s="20"/>
      <c r="N227" s="20"/>
      <c r="O227" s="20"/>
      <c r="P227" s="20"/>
      <c r="Q227" s="20"/>
      <c r="R227" s="20"/>
      <c r="S227" s="20"/>
      <c r="T227" s="20"/>
      <c r="U227" s="20"/>
      <c r="V227" s="20"/>
      <c r="W227" s="20"/>
      <c r="X227" s="20"/>
      <c r="Y227" s="20"/>
      <c r="Z227" s="20"/>
    </row>
    <row r="228" ht="56.25" customHeight="1">
      <c r="A228" s="24"/>
      <c r="B228" s="24"/>
      <c r="C228" s="24"/>
      <c r="D228" s="24"/>
      <c r="E228" s="25"/>
      <c r="F228" s="20"/>
      <c r="G228" s="20"/>
      <c r="H228" s="20"/>
      <c r="I228" s="20"/>
      <c r="J228" s="20"/>
      <c r="K228" s="20"/>
      <c r="L228" s="20"/>
      <c r="M228" s="20"/>
      <c r="N228" s="20"/>
      <c r="O228" s="20"/>
      <c r="P228" s="20"/>
      <c r="Q228" s="20"/>
      <c r="R228" s="20"/>
      <c r="S228" s="20"/>
      <c r="T228" s="20"/>
      <c r="U228" s="20"/>
      <c r="V228" s="20"/>
      <c r="W228" s="20"/>
      <c r="X228" s="20"/>
      <c r="Y228" s="20"/>
      <c r="Z228" s="20"/>
    </row>
    <row r="229" ht="56.25" customHeight="1">
      <c r="A229" s="24"/>
      <c r="B229" s="24"/>
      <c r="C229" s="24"/>
      <c r="D229" s="24"/>
      <c r="E229" s="25"/>
      <c r="F229" s="20"/>
      <c r="G229" s="20"/>
      <c r="H229" s="20"/>
      <c r="I229" s="20"/>
      <c r="J229" s="20"/>
      <c r="K229" s="20"/>
      <c r="L229" s="20"/>
      <c r="M229" s="20"/>
      <c r="N229" s="20"/>
      <c r="O229" s="20"/>
      <c r="P229" s="20"/>
      <c r="Q229" s="20"/>
      <c r="R229" s="20"/>
      <c r="S229" s="20"/>
      <c r="T229" s="20"/>
      <c r="U229" s="20"/>
      <c r="V229" s="20"/>
      <c r="W229" s="20"/>
      <c r="X229" s="20"/>
      <c r="Y229" s="20"/>
      <c r="Z229" s="20"/>
    </row>
    <row r="230" ht="56.25" customHeight="1">
      <c r="A230" s="24"/>
      <c r="B230" s="24"/>
      <c r="C230" s="24"/>
      <c r="D230" s="24"/>
      <c r="E230" s="25"/>
      <c r="F230" s="20"/>
      <c r="G230" s="20"/>
      <c r="H230" s="20"/>
      <c r="I230" s="20"/>
      <c r="J230" s="20"/>
      <c r="K230" s="20"/>
      <c r="L230" s="20"/>
      <c r="M230" s="20"/>
      <c r="N230" s="20"/>
      <c r="O230" s="20"/>
      <c r="P230" s="20"/>
      <c r="Q230" s="20"/>
      <c r="R230" s="20"/>
      <c r="S230" s="20"/>
      <c r="T230" s="20"/>
      <c r="U230" s="20"/>
      <c r="V230" s="20"/>
      <c r="W230" s="20"/>
      <c r="X230" s="20"/>
      <c r="Y230" s="20"/>
      <c r="Z230" s="20"/>
    </row>
    <row r="231" ht="56.25" customHeight="1">
      <c r="A231" s="24"/>
      <c r="B231" s="24"/>
      <c r="C231" s="24"/>
      <c r="D231" s="24"/>
      <c r="E231" s="25"/>
      <c r="F231" s="20"/>
      <c r="G231" s="20"/>
      <c r="H231" s="20"/>
      <c r="I231" s="20"/>
      <c r="J231" s="20"/>
      <c r="K231" s="20"/>
      <c r="L231" s="20"/>
      <c r="M231" s="20"/>
      <c r="N231" s="20"/>
      <c r="O231" s="20"/>
      <c r="P231" s="20"/>
      <c r="Q231" s="20"/>
      <c r="R231" s="20"/>
      <c r="S231" s="20"/>
      <c r="T231" s="20"/>
      <c r="U231" s="20"/>
      <c r="V231" s="20"/>
      <c r="W231" s="20"/>
      <c r="X231" s="20"/>
      <c r="Y231" s="20"/>
      <c r="Z231" s="20"/>
    </row>
    <row r="232" ht="56.25" customHeight="1">
      <c r="A232" s="24"/>
      <c r="B232" s="24"/>
      <c r="C232" s="24"/>
      <c r="D232" s="24"/>
      <c r="E232" s="25"/>
      <c r="F232" s="20"/>
      <c r="G232" s="20"/>
      <c r="H232" s="20"/>
      <c r="I232" s="20"/>
      <c r="J232" s="20"/>
      <c r="K232" s="20"/>
      <c r="L232" s="20"/>
      <c r="M232" s="20"/>
      <c r="N232" s="20"/>
      <c r="O232" s="20"/>
      <c r="P232" s="20"/>
      <c r="Q232" s="20"/>
      <c r="R232" s="20"/>
      <c r="S232" s="20"/>
      <c r="T232" s="20"/>
      <c r="U232" s="20"/>
      <c r="V232" s="20"/>
      <c r="W232" s="20"/>
      <c r="X232" s="20"/>
      <c r="Y232" s="20"/>
      <c r="Z232" s="20"/>
    </row>
    <row r="233" ht="56.25" customHeight="1">
      <c r="A233" s="24"/>
      <c r="B233" s="24"/>
      <c r="C233" s="24"/>
      <c r="D233" s="24"/>
      <c r="E233" s="25"/>
      <c r="F233" s="20"/>
      <c r="G233" s="20"/>
      <c r="H233" s="20"/>
      <c r="I233" s="20"/>
      <c r="J233" s="20"/>
      <c r="K233" s="20"/>
      <c r="L233" s="20"/>
      <c r="M233" s="20"/>
      <c r="N233" s="20"/>
      <c r="O233" s="20"/>
      <c r="P233" s="20"/>
      <c r="Q233" s="20"/>
      <c r="R233" s="20"/>
      <c r="S233" s="20"/>
      <c r="T233" s="20"/>
      <c r="U233" s="20"/>
      <c r="V233" s="20"/>
      <c r="W233" s="20"/>
      <c r="X233" s="20"/>
      <c r="Y233" s="20"/>
      <c r="Z233" s="20"/>
    </row>
    <row r="234" ht="56.25" customHeight="1">
      <c r="A234" s="24"/>
      <c r="B234" s="24"/>
      <c r="C234" s="24"/>
      <c r="D234" s="24"/>
      <c r="E234" s="25"/>
      <c r="F234" s="20"/>
      <c r="G234" s="20"/>
      <c r="H234" s="20"/>
      <c r="I234" s="20"/>
      <c r="J234" s="20"/>
      <c r="K234" s="20"/>
      <c r="L234" s="20"/>
      <c r="M234" s="20"/>
      <c r="N234" s="20"/>
      <c r="O234" s="20"/>
      <c r="P234" s="20"/>
      <c r="Q234" s="20"/>
      <c r="R234" s="20"/>
      <c r="S234" s="20"/>
      <c r="T234" s="20"/>
      <c r="U234" s="20"/>
      <c r="V234" s="20"/>
      <c r="W234" s="20"/>
      <c r="X234" s="20"/>
      <c r="Y234" s="20"/>
      <c r="Z234" s="20"/>
    </row>
    <row r="235" ht="56.25" customHeight="1">
      <c r="A235" s="24"/>
      <c r="B235" s="24"/>
      <c r="C235" s="24"/>
      <c r="D235" s="24"/>
      <c r="E235" s="25"/>
      <c r="F235" s="20"/>
      <c r="G235" s="20"/>
      <c r="H235" s="20"/>
      <c r="I235" s="20"/>
      <c r="J235" s="20"/>
      <c r="K235" s="20"/>
      <c r="L235" s="20"/>
      <c r="M235" s="20"/>
      <c r="N235" s="20"/>
      <c r="O235" s="20"/>
      <c r="P235" s="20"/>
      <c r="Q235" s="20"/>
      <c r="R235" s="20"/>
      <c r="S235" s="20"/>
      <c r="T235" s="20"/>
      <c r="U235" s="20"/>
      <c r="V235" s="20"/>
      <c r="W235" s="20"/>
      <c r="X235" s="20"/>
      <c r="Y235" s="20"/>
      <c r="Z235" s="20"/>
    </row>
    <row r="236" ht="56.25" customHeight="1">
      <c r="A236" s="24"/>
      <c r="B236" s="24"/>
      <c r="C236" s="24"/>
      <c r="D236" s="24"/>
      <c r="E236" s="25"/>
      <c r="F236" s="20"/>
      <c r="G236" s="20"/>
      <c r="H236" s="20"/>
      <c r="I236" s="20"/>
      <c r="J236" s="20"/>
      <c r="K236" s="20"/>
      <c r="L236" s="20"/>
      <c r="M236" s="20"/>
      <c r="N236" s="20"/>
      <c r="O236" s="20"/>
      <c r="P236" s="20"/>
      <c r="Q236" s="20"/>
      <c r="R236" s="20"/>
      <c r="S236" s="20"/>
      <c r="T236" s="20"/>
      <c r="U236" s="20"/>
      <c r="V236" s="20"/>
      <c r="W236" s="20"/>
      <c r="X236" s="20"/>
      <c r="Y236" s="20"/>
      <c r="Z236" s="20"/>
    </row>
    <row r="237" ht="56.25" customHeight="1">
      <c r="A237" s="24"/>
      <c r="B237" s="24"/>
      <c r="C237" s="24"/>
      <c r="D237" s="24"/>
      <c r="E237" s="25"/>
      <c r="F237" s="20"/>
      <c r="G237" s="20"/>
      <c r="H237" s="20"/>
      <c r="I237" s="20"/>
      <c r="J237" s="20"/>
      <c r="K237" s="20"/>
      <c r="L237" s="20"/>
      <c r="M237" s="20"/>
      <c r="N237" s="20"/>
      <c r="O237" s="20"/>
      <c r="P237" s="20"/>
      <c r="Q237" s="20"/>
      <c r="R237" s="20"/>
      <c r="S237" s="20"/>
      <c r="T237" s="20"/>
      <c r="U237" s="20"/>
      <c r="V237" s="20"/>
      <c r="W237" s="20"/>
      <c r="X237" s="20"/>
      <c r="Y237" s="20"/>
      <c r="Z237" s="20"/>
    </row>
    <row r="238" ht="56.25" customHeight="1">
      <c r="A238" s="24"/>
      <c r="B238" s="24"/>
      <c r="C238" s="24"/>
      <c r="D238" s="24"/>
      <c r="E238" s="25"/>
      <c r="F238" s="20"/>
      <c r="G238" s="20"/>
      <c r="H238" s="20"/>
      <c r="I238" s="20"/>
      <c r="J238" s="20"/>
      <c r="K238" s="20"/>
      <c r="L238" s="20"/>
      <c r="M238" s="20"/>
      <c r="N238" s="20"/>
      <c r="O238" s="20"/>
      <c r="P238" s="20"/>
      <c r="Q238" s="20"/>
      <c r="R238" s="20"/>
      <c r="S238" s="20"/>
      <c r="T238" s="20"/>
      <c r="U238" s="20"/>
      <c r="V238" s="20"/>
      <c r="W238" s="20"/>
      <c r="X238" s="20"/>
      <c r="Y238" s="20"/>
      <c r="Z238" s="20"/>
    </row>
    <row r="239" ht="56.25" customHeight="1">
      <c r="A239" s="24"/>
      <c r="B239" s="24"/>
      <c r="C239" s="24"/>
      <c r="D239" s="24"/>
      <c r="E239" s="25"/>
      <c r="F239" s="20"/>
      <c r="G239" s="20"/>
      <c r="H239" s="20"/>
      <c r="I239" s="20"/>
      <c r="J239" s="20"/>
      <c r="K239" s="20"/>
      <c r="L239" s="20"/>
      <c r="M239" s="20"/>
      <c r="N239" s="20"/>
      <c r="O239" s="20"/>
      <c r="P239" s="20"/>
      <c r="Q239" s="20"/>
      <c r="R239" s="20"/>
      <c r="S239" s="20"/>
      <c r="T239" s="20"/>
      <c r="U239" s="20"/>
      <c r="V239" s="20"/>
      <c r="W239" s="20"/>
      <c r="X239" s="20"/>
      <c r="Y239" s="20"/>
      <c r="Z239" s="20"/>
    </row>
    <row r="240" ht="56.25" customHeight="1">
      <c r="A240" s="24"/>
      <c r="B240" s="24"/>
      <c r="C240" s="24"/>
      <c r="D240" s="24"/>
      <c r="E240" s="25"/>
      <c r="F240" s="20"/>
      <c r="G240" s="20"/>
      <c r="H240" s="20"/>
      <c r="I240" s="20"/>
      <c r="J240" s="20"/>
      <c r="K240" s="20"/>
      <c r="L240" s="20"/>
      <c r="M240" s="20"/>
      <c r="N240" s="20"/>
      <c r="O240" s="20"/>
      <c r="P240" s="20"/>
      <c r="Q240" s="20"/>
      <c r="R240" s="20"/>
      <c r="S240" s="20"/>
      <c r="T240" s="20"/>
      <c r="U240" s="20"/>
      <c r="V240" s="20"/>
      <c r="W240" s="20"/>
      <c r="X240" s="20"/>
      <c r="Y240" s="20"/>
      <c r="Z240" s="20"/>
    </row>
    <row r="241" ht="56.25" customHeight="1">
      <c r="A241" s="24"/>
      <c r="B241" s="24"/>
      <c r="C241" s="24"/>
      <c r="D241" s="24"/>
      <c r="E241" s="25"/>
      <c r="F241" s="20"/>
      <c r="G241" s="20"/>
      <c r="H241" s="20"/>
      <c r="I241" s="20"/>
      <c r="J241" s="20"/>
      <c r="K241" s="20"/>
      <c r="L241" s="20"/>
      <c r="M241" s="20"/>
      <c r="N241" s="20"/>
      <c r="O241" s="20"/>
      <c r="P241" s="20"/>
      <c r="Q241" s="20"/>
      <c r="R241" s="20"/>
      <c r="S241" s="20"/>
      <c r="T241" s="20"/>
      <c r="U241" s="20"/>
      <c r="V241" s="20"/>
      <c r="W241" s="20"/>
      <c r="X241" s="20"/>
      <c r="Y241" s="20"/>
      <c r="Z241" s="20"/>
    </row>
    <row r="242" ht="56.25" customHeight="1">
      <c r="A242" s="24"/>
      <c r="B242" s="24"/>
      <c r="C242" s="24"/>
      <c r="D242" s="24"/>
      <c r="E242" s="25"/>
      <c r="F242" s="20"/>
      <c r="G242" s="20"/>
      <c r="H242" s="20"/>
      <c r="I242" s="20"/>
      <c r="J242" s="20"/>
      <c r="K242" s="20"/>
      <c r="L242" s="20"/>
      <c r="M242" s="20"/>
      <c r="N242" s="20"/>
      <c r="O242" s="20"/>
      <c r="P242" s="20"/>
      <c r="Q242" s="20"/>
      <c r="R242" s="20"/>
      <c r="S242" s="20"/>
      <c r="T242" s="20"/>
      <c r="U242" s="20"/>
      <c r="V242" s="20"/>
      <c r="W242" s="20"/>
      <c r="X242" s="20"/>
      <c r="Y242" s="20"/>
      <c r="Z242" s="20"/>
    </row>
    <row r="243" ht="56.25" customHeight="1">
      <c r="A243" s="24"/>
      <c r="B243" s="24"/>
      <c r="C243" s="24"/>
      <c r="D243" s="24"/>
      <c r="E243" s="25"/>
      <c r="F243" s="20"/>
      <c r="G243" s="20"/>
      <c r="H243" s="20"/>
      <c r="I243" s="20"/>
      <c r="J243" s="20"/>
      <c r="K243" s="20"/>
      <c r="L243" s="20"/>
      <c r="M243" s="20"/>
      <c r="N243" s="20"/>
      <c r="O243" s="20"/>
      <c r="P243" s="20"/>
      <c r="Q243" s="20"/>
      <c r="R243" s="20"/>
      <c r="S243" s="20"/>
      <c r="T243" s="20"/>
      <c r="U243" s="20"/>
      <c r="V243" s="20"/>
      <c r="W243" s="20"/>
      <c r="X243" s="20"/>
      <c r="Y243" s="20"/>
      <c r="Z243" s="20"/>
    </row>
    <row r="244" ht="56.25" customHeight="1">
      <c r="A244" s="24"/>
      <c r="B244" s="24"/>
      <c r="C244" s="24"/>
      <c r="D244" s="24"/>
      <c r="E244" s="25"/>
      <c r="F244" s="20"/>
      <c r="G244" s="20"/>
      <c r="H244" s="20"/>
      <c r="I244" s="20"/>
      <c r="J244" s="20"/>
      <c r="K244" s="20"/>
      <c r="L244" s="20"/>
      <c r="M244" s="20"/>
      <c r="N244" s="20"/>
      <c r="O244" s="20"/>
      <c r="P244" s="20"/>
      <c r="Q244" s="20"/>
      <c r="R244" s="20"/>
      <c r="S244" s="20"/>
      <c r="T244" s="20"/>
      <c r="U244" s="20"/>
      <c r="V244" s="20"/>
      <c r="W244" s="20"/>
      <c r="X244" s="20"/>
      <c r="Y244" s="20"/>
      <c r="Z244" s="20"/>
    </row>
    <row r="245" ht="56.25" customHeight="1">
      <c r="A245" s="24"/>
      <c r="B245" s="24"/>
      <c r="C245" s="24"/>
      <c r="D245" s="24"/>
      <c r="E245" s="25"/>
      <c r="F245" s="20"/>
      <c r="G245" s="20"/>
      <c r="H245" s="20"/>
      <c r="I245" s="20"/>
      <c r="J245" s="20"/>
      <c r="K245" s="20"/>
      <c r="L245" s="20"/>
      <c r="M245" s="20"/>
      <c r="N245" s="20"/>
      <c r="O245" s="20"/>
      <c r="P245" s="20"/>
      <c r="Q245" s="20"/>
      <c r="R245" s="20"/>
      <c r="S245" s="20"/>
      <c r="T245" s="20"/>
      <c r="U245" s="20"/>
      <c r="V245" s="20"/>
      <c r="W245" s="20"/>
      <c r="X245" s="20"/>
      <c r="Y245" s="20"/>
      <c r="Z245" s="20"/>
    </row>
    <row r="246" ht="56.25" customHeight="1">
      <c r="A246" s="24"/>
      <c r="B246" s="24"/>
      <c r="C246" s="24"/>
      <c r="D246" s="24"/>
      <c r="E246" s="25"/>
      <c r="F246" s="20"/>
      <c r="G246" s="20"/>
      <c r="H246" s="20"/>
      <c r="I246" s="20"/>
      <c r="J246" s="20"/>
      <c r="K246" s="20"/>
      <c r="L246" s="20"/>
      <c r="M246" s="20"/>
      <c r="N246" s="20"/>
      <c r="O246" s="20"/>
      <c r="P246" s="20"/>
      <c r="Q246" s="20"/>
      <c r="R246" s="20"/>
      <c r="S246" s="20"/>
      <c r="T246" s="20"/>
      <c r="U246" s="20"/>
      <c r="V246" s="20"/>
      <c r="W246" s="20"/>
      <c r="X246" s="20"/>
      <c r="Y246" s="20"/>
      <c r="Z246" s="20"/>
    </row>
    <row r="247" ht="56.25" customHeight="1">
      <c r="A247" s="24"/>
      <c r="B247" s="24"/>
      <c r="C247" s="24"/>
      <c r="D247" s="24"/>
      <c r="E247" s="25"/>
      <c r="F247" s="20"/>
      <c r="G247" s="20"/>
      <c r="H247" s="20"/>
      <c r="I247" s="20"/>
      <c r="J247" s="20"/>
      <c r="K247" s="20"/>
      <c r="L247" s="20"/>
      <c r="M247" s="20"/>
      <c r="N247" s="20"/>
      <c r="O247" s="20"/>
      <c r="P247" s="20"/>
      <c r="Q247" s="20"/>
      <c r="R247" s="20"/>
      <c r="S247" s="20"/>
      <c r="T247" s="20"/>
      <c r="U247" s="20"/>
      <c r="V247" s="20"/>
      <c r="W247" s="20"/>
      <c r="X247" s="20"/>
      <c r="Y247" s="20"/>
      <c r="Z247" s="20"/>
    </row>
    <row r="248" ht="56.25" customHeight="1">
      <c r="A248" s="24"/>
      <c r="B248" s="24"/>
      <c r="C248" s="24"/>
      <c r="D248" s="24"/>
      <c r="E248" s="25"/>
      <c r="F248" s="20"/>
      <c r="G248" s="20"/>
      <c r="H248" s="20"/>
      <c r="I248" s="20"/>
      <c r="J248" s="20"/>
      <c r="K248" s="20"/>
      <c r="L248" s="20"/>
      <c r="M248" s="20"/>
      <c r="N248" s="20"/>
      <c r="O248" s="20"/>
      <c r="P248" s="20"/>
      <c r="Q248" s="20"/>
      <c r="R248" s="20"/>
      <c r="S248" s="20"/>
      <c r="T248" s="20"/>
      <c r="U248" s="20"/>
      <c r="V248" s="20"/>
      <c r="W248" s="20"/>
      <c r="X248" s="20"/>
      <c r="Y248" s="20"/>
      <c r="Z248" s="20"/>
    </row>
    <row r="249" ht="56.25" customHeight="1">
      <c r="A249" s="24"/>
      <c r="B249" s="24"/>
      <c r="C249" s="24"/>
      <c r="D249" s="24"/>
      <c r="E249" s="25"/>
      <c r="F249" s="20"/>
      <c r="G249" s="20"/>
      <c r="H249" s="20"/>
      <c r="I249" s="20"/>
      <c r="J249" s="20"/>
      <c r="K249" s="20"/>
      <c r="L249" s="20"/>
      <c r="M249" s="20"/>
      <c r="N249" s="20"/>
      <c r="O249" s="20"/>
      <c r="P249" s="20"/>
      <c r="Q249" s="20"/>
      <c r="R249" s="20"/>
      <c r="S249" s="20"/>
      <c r="T249" s="20"/>
      <c r="U249" s="20"/>
      <c r="V249" s="20"/>
      <c r="W249" s="20"/>
      <c r="X249" s="20"/>
      <c r="Y249" s="20"/>
      <c r="Z249" s="20"/>
    </row>
    <row r="250" ht="56.25" customHeight="1">
      <c r="A250" s="24"/>
      <c r="B250" s="24"/>
      <c r="C250" s="24"/>
      <c r="D250" s="24"/>
      <c r="E250" s="25"/>
      <c r="F250" s="20"/>
      <c r="G250" s="20"/>
      <c r="H250" s="20"/>
      <c r="I250" s="20"/>
      <c r="J250" s="20"/>
      <c r="K250" s="20"/>
      <c r="L250" s="20"/>
      <c r="M250" s="20"/>
      <c r="N250" s="20"/>
      <c r="O250" s="20"/>
      <c r="P250" s="20"/>
      <c r="Q250" s="20"/>
      <c r="R250" s="20"/>
      <c r="S250" s="20"/>
      <c r="T250" s="20"/>
      <c r="U250" s="20"/>
      <c r="V250" s="20"/>
      <c r="W250" s="20"/>
      <c r="X250" s="20"/>
      <c r="Y250" s="20"/>
      <c r="Z250" s="20"/>
    </row>
    <row r="251" ht="56.25" customHeight="1">
      <c r="A251" s="24"/>
      <c r="B251" s="24"/>
      <c r="C251" s="24"/>
      <c r="D251" s="24"/>
      <c r="E251" s="25"/>
      <c r="F251" s="20"/>
      <c r="G251" s="20"/>
      <c r="H251" s="20"/>
      <c r="I251" s="20"/>
      <c r="J251" s="20"/>
      <c r="K251" s="20"/>
      <c r="L251" s="20"/>
      <c r="M251" s="20"/>
      <c r="N251" s="20"/>
      <c r="O251" s="20"/>
      <c r="P251" s="20"/>
      <c r="Q251" s="20"/>
      <c r="R251" s="20"/>
      <c r="S251" s="20"/>
      <c r="T251" s="20"/>
      <c r="U251" s="20"/>
      <c r="V251" s="20"/>
      <c r="W251" s="20"/>
      <c r="X251" s="20"/>
      <c r="Y251" s="20"/>
      <c r="Z251" s="20"/>
    </row>
    <row r="252" ht="56.25" customHeight="1">
      <c r="A252" s="24"/>
      <c r="B252" s="24"/>
      <c r="C252" s="24"/>
      <c r="D252" s="24"/>
      <c r="E252" s="25"/>
      <c r="F252" s="20"/>
      <c r="G252" s="20"/>
      <c r="H252" s="20"/>
      <c r="I252" s="20"/>
      <c r="J252" s="20"/>
      <c r="K252" s="20"/>
      <c r="L252" s="20"/>
      <c r="M252" s="20"/>
      <c r="N252" s="20"/>
      <c r="O252" s="20"/>
      <c r="P252" s="20"/>
      <c r="Q252" s="20"/>
      <c r="R252" s="20"/>
      <c r="S252" s="20"/>
      <c r="T252" s="20"/>
      <c r="U252" s="20"/>
      <c r="V252" s="20"/>
      <c r="W252" s="20"/>
      <c r="X252" s="20"/>
      <c r="Y252" s="20"/>
      <c r="Z252" s="20"/>
    </row>
    <row r="253" ht="56.25" customHeight="1">
      <c r="A253" s="24"/>
      <c r="B253" s="24"/>
      <c r="C253" s="24"/>
      <c r="D253" s="24"/>
      <c r="E253" s="25"/>
      <c r="F253" s="20"/>
      <c r="G253" s="20"/>
      <c r="H253" s="20"/>
      <c r="I253" s="20"/>
      <c r="J253" s="20"/>
      <c r="K253" s="20"/>
      <c r="L253" s="20"/>
      <c r="M253" s="20"/>
      <c r="N253" s="20"/>
      <c r="O253" s="20"/>
      <c r="P253" s="20"/>
      <c r="Q253" s="20"/>
      <c r="R253" s="20"/>
      <c r="S253" s="20"/>
      <c r="T253" s="20"/>
      <c r="U253" s="20"/>
      <c r="V253" s="20"/>
      <c r="W253" s="20"/>
      <c r="X253" s="20"/>
      <c r="Y253" s="20"/>
      <c r="Z253" s="20"/>
    </row>
    <row r="254" ht="56.25" customHeight="1">
      <c r="A254" s="24"/>
      <c r="B254" s="24"/>
      <c r="C254" s="24"/>
      <c r="D254" s="24"/>
      <c r="E254" s="25"/>
      <c r="F254" s="20"/>
      <c r="G254" s="20"/>
      <c r="H254" s="20"/>
      <c r="I254" s="20"/>
      <c r="J254" s="20"/>
      <c r="K254" s="20"/>
      <c r="L254" s="20"/>
      <c r="M254" s="20"/>
      <c r="N254" s="20"/>
      <c r="O254" s="20"/>
      <c r="P254" s="20"/>
      <c r="Q254" s="20"/>
      <c r="R254" s="20"/>
      <c r="S254" s="20"/>
      <c r="T254" s="20"/>
      <c r="U254" s="20"/>
      <c r="V254" s="20"/>
      <c r="W254" s="20"/>
      <c r="X254" s="20"/>
      <c r="Y254" s="20"/>
      <c r="Z254" s="20"/>
    </row>
    <row r="255" ht="56.25" customHeight="1">
      <c r="A255" s="24"/>
      <c r="B255" s="24"/>
      <c r="C255" s="24"/>
      <c r="D255" s="24"/>
      <c r="E255" s="25"/>
      <c r="F255" s="20"/>
      <c r="G255" s="20"/>
      <c r="H255" s="20"/>
      <c r="I255" s="20"/>
      <c r="J255" s="20"/>
      <c r="K255" s="20"/>
      <c r="L255" s="20"/>
      <c r="M255" s="20"/>
      <c r="N255" s="20"/>
      <c r="O255" s="20"/>
      <c r="P255" s="20"/>
      <c r="Q255" s="20"/>
      <c r="R255" s="20"/>
      <c r="S255" s="20"/>
      <c r="T255" s="20"/>
      <c r="U255" s="20"/>
      <c r="V255" s="20"/>
      <c r="W255" s="20"/>
      <c r="X255" s="20"/>
      <c r="Y255" s="20"/>
      <c r="Z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sheetData>
  <printOptions/>
  <pageMargins bottom="0.75" footer="0.0" header="0.0" left="0.7" right="0.7" top="0.75"/>
  <pageSetup orientation="landscape"/>
  <drawing r:id="rId1"/>
</worksheet>
</file>